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2025 Q4/Q4 Done/"/>
    </mc:Choice>
  </mc:AlternateContent>
  <xr:revisionPtr revIDLastSave="423" documentId="13_ncr:1_{9C6DBC0A-1FAD-4078-850B-BCF5AF258180}" xr6:coauthVersionLast="47" xr6:coauthVersionMax="47" xr10:uidLastSave="{FB5BE6B1-9DDC-45E8-A056-77B3E54D7926}"/>
  <bookViews>
    <workbookView xWindow="-108" yWindow="-108" windowWidth="23256" windowHeight="12456" tabRatio="604" xr2:uid="{00000000-000D-0000-FFFF-FFFF00000000}"/>
  </bookViews>
  <sheets>
    <sheet name="Sheet1" sheetId="1" r:id="rId1"/>
  </sheets>
  <definedNames>
    <definedName name="_MailAutoSig" localSheetId="0">Sheet1!$KM$13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G33" i="1" l="1"/>
  <c r="OG31" i="1"/>
  <c r="OG29" i="1"/>
  <c r="OF33" i="1"/>
  <c r="OF31" i="1"/>
  <c r="OF29" i="1"/>
  <c r="OE33" i="1"/>
  <c r="OE31" i="1"/>
  <c r="OE29" i="1"/>
  <c r="OD33" i="1"/>
  <c r="OD31" i="1"/>
  <c r="OD29" i="1"/>
  <c r="OC33" i="1"/>
  <c r="OC31" i="1"/>
  <c r="OC29" i="1"/>
  <c r="OB33" i="1"/>
  <c r="OB31" i="1"/>
  <c r="OB29" i="1"/>
  <c r="OA33" i="1"/>
  <c r="OA31" i="1"/>
  <c r="OA29" i="1"/>
  <c r="NZ33" i="1"/>
  <c r="NZ31" i="1"/>
  <c r="NZ29" i="1"/>
  <c r="NY33" i="1"/>
  <c r="NY31" i="1"/>
  <c r="NY29" i="1"/>
  <c r="NX33" i="1"/>
  <c r="NX31" i="1"/>
  <c r="NX29" i="1"/>
  <c r="NW31" i="1" l="1"/>
  <c r="NW29" i="1"/>
  <c r="NW33" i="1"/>
  <c r="NV33" i="1"/>
  <c r="NU31" i="1"/>
  <c r="NV31" i="1"/>
  <c r="NV29" i="1"/>
  <c r="NU29" i="1"/>
  <c r="NU33" i="1"/>
  <c r="NT29" i="1"/>
  <c r="NT31" i="1"/>
  <c r="NT33" i="1"/>
  <c r="NS33" i="1"/>
  <c r="NR33" i="1"/>
  <c r="NS31" i="1"/>
  <c r="NR31" i="1"/>
  <c r="NS29" i="1"/>
  <c r="NR29" i="1"/>
  <c r="NQ29" i="1"/>
  <c r="NQ31" i="1"/>
  <c r="NQ33" i="1"/>
  <c r="NP29" i="1"/>
  <c r="NP31" i="1"/>
  <c r="NP33" i="1"/>
  <c r="NO29" i="1"/>
  <c r="NO31" i="1"/>
  <c r="NO33" i="1"/>
  <c r="NN29" i="1"/>
  <c r="NN31" i="1"/>
  <c r="NN33" i="1"/>
  <c r="NM29" i="1"/>
  <c r="NM31" i="1"/>
  <c r="NM33" i="1"/>
  <c r="NK29" i="1"/>
  <c r="NL29" i="1"/>
  <c r="NK31" i="1"/>
  <c r="NL31" i="1"/>
  <c r="NK33" i="1"/>
  <c r="NL33" i="1"/>
  <c r="NJ29" i="1"/>
  <c r="NJ31" i="1"/>
  <c r="NJ33" i="1"/>
  <c r="NH29" i="1"/>
  <c r="NI29" i="1"/>
  <c r="NH31" i="1"/>
  <c r="NI31" i="1"/>
  <c r="NH33" i="1"/>
  <c r="NI33" i="1"/>
  <c r="NG29" i="1"/>
  <c r="NG31" i="1"/>
  <c r="NG33" i="1"/>
  <c r="NF29" i="1"/>
  <c r="NF31" i="1"/>
  <c r="NF33" i="1"/>
  <c r="NE29" i="1"/>
  <c r="NE31" i="1"/>
  <c r="NE33" i="1"/>
  <c r="ND29" i="1"/>
  <c r="ND31" i="1"/>
  <c r="ND33" i="1"/>
  <c r="NC29" i="1"/>
  <c r="NC31" i="1"/>
  <c r="NC33" i="1"/>
  <c r="NB29" i="1"/>
  <c r="NB31" i="1"/>
  <c r="NB33" i="1"/>
  <c r="NA33" i="1"/>
  <c r="NA31" i="1"/>
  <c r="NA29" i="1"/>
  <c r="MX31" i="1"/>
  <c r="MX29" i="1"/>
  <c r="MY29" i="1"/>
  <c r="MZ29" i="1"/>
  <c r="MY31" i="1"/>
  <c r="MZ31" i="1"/>
  <c r="MX33" i="1"/>
  <c r="MY33" i="1"/>
  <c r="MZ33" i="1"/>
  <c r="MW29" i="1" l="1"/>
  <c r="MW31" i="1"/>
  <c r="MW33" i="1"/>
  <c r="MV29" i="1"/>
  <c r="MV31" i="1"/>
  <c r="MV33" i="1"/>
  <c r="MU33" i="1"/>
  <c r="MU31" i="1"/>
  <c r="MU29" i="1"/>
  <c r="MT29" i="1" l="1"/>
  <c r="MT31" i="1"/>
  <c r="MT33" i="1"/>
  <c r="MS29" i="1"/>
  <c r="MS31" i="1"/>
  <c r="MS33" i="1"/>
  <c r="MR29" i="1"/>
  <c r="MR31" i="1"/>
  <c r="MR33" i="1"/>
  <c r="MP29" i="1" l="1"/>
  <c r="MQ29" i="1"/>
  <c r="MP31" i="1"/>
  <c r="MQ31" i="1"/>
  <c r="MP33" i="1"/>
  <c r="MQ33" i="1"/>
  <c r="MO29" i="1"/>
  <c r="MO31" i="1"/>
  <c r="MO33" i="1"/>
  <c r="MN29" i="1" l="1"/>
  <c r="MN31" i="1"/>
  <c r="MN33" i="1"/>
  <c r="MM29" i="1" l="1"/>
  <c r="MM31" i="1"/>
  <c r="MM33" i="1"/>
  <c r="ML31" i="1"/>
  <c r="ML33" i="1"/>
  <c r="ML29" i="1"/>
  <c r="MJ29" i="1" l="1"/>
  <c r="MK29" i="1"/>
  <c r="MJ31" i="1"/>
  <c r="MK31" i="1"/>
  <c r="MJ33" i="1"/>
  <c r="MK33" i="1"/>
  <c r="MH29" i="1" l="1"/>
  <c r="MI29" i="1"/>
  <c r="MH31" i="1"/>
  <c r="MI31" i="1"/>
  <c r="MH33" i="1"/>
  <c r="MI33" i="1"/>
  <c r="MF29" i="1" l="1"/>
  <c r="MG29" i="1"/>
  <c r="MF31" i="1"/>
  <c r="MG31" i="1"/>
  <c r="MF33" i="1"/>
  <c r="MG33" i="1"/>
  <c r="ME29" i="1" l="1"/>
  <c r="ME31" i="1"/>
  <c r="ME33" i="1"/>
  <c r="MD33" i="1"/>
  <c r="MD31" i="1"/>
  <c r="MD29" i="1"/>
  <c r="MB31" i="1"/>
  <c r="MC29" i="1"/>
  <c r="MB29" i="1" l="1"/>
  <c r="MB33" i="1"/>
  <c r="LZ29" i="1"/>
  <c r="MA29" i="1"/>
  <c r="LZ31" i="1"/>
  <c r="MA31" i="1"/>
  <c r="LZ33" i="1"/>
  <c r="MA33" i="1"/>
  <c r="LW29" i="1" l="1"/>
  <c r="LX29" i="1"/>
  <c r="LY29" i="1"/>
  <c r="LW31" i="1"/>
  <c r="LX31" i="1"/>
  <c r="LY31" i="1"/>
  <c r="LW33" i="1"/>
  <c r="LX33" i="1"/>
  <c r="LY33" i="1"/>
  <c r="LV29" i="1" l="1"/>
  <c r="LV31" i="1"/>
  <c r="LV33" i="1"/>
  <c r="LU33" i="1"/>
  <c r="LU31" i="1"/>
  <c r="LU29" i="1"/>
  <c r="LT33" i="1"/>
  <c r="LS33" i="1"/>
  <c r="LT31" i="1"/>
  <c r="LS31" i="1"/>
  <c r="LT29" i="1"/>
  <c r="LS29" i="1"/>
  <c r="LR33" i="1" l="1"/>
  <c r="LR31" i="1"/>
  <c r="LR29" i="1"/>
  <c r="LP29" i="1" l="1"/>
  <c r="LP31" i="1"/>
  <c r="LP33" i="1"/>
  <c r="LO29" i="1"/>
  <c r="LO31" i="1"/>
  <c r="LO33" i="1"/>
  <c r="LN29" i="1"/>
  <c r="LN31" i="1"/>
  <c r="LN33" i="1"/>
  <c r="LM29" i="1" l="1"/>
  <c r="LM31" i="1"/>
  <c r="LM33" i="1"/>
  <c r="LL29" i="1"/>
  <c r="LL31" i="1"/>
  <c r="LL33" i="1"/>
  <c r="LK29" i="1"/>
  <c r="LK31" i="1"/>
  <c r="LK33" i="1"/>
  <c r="LJ29" i="1" l="1"/>
  <c r="LJ31" i="1"/>
  <c r="LJ33" i="1"/>
  <c r="LH29" i="1"/>
  <c r="LI29" i="1"/>
  <c r="LH31" i="1"/>
  <c r="LI31" i="1"/>
  <c r="LH33" i="1"/>
  <c r="LI33" i="1"/>
  <c r="LG33" i="1" l="1"/>
  <c r="LG31" i="1"/>
  <c r="LG29" i="1"/>
  <c r="LE33" i="1"/>
  <c r="LF33" i="1"/>
  <c r="LE31" i="1"/>
  <c r="LF31" i="1"/>
  <c r="LE29" i="1"/>
  <c r="LF29" i="1"/>
  <c r="LD33" i="1" l="1"/>
  <c r="LD29" i="1"/>
  <c r="LD31" i="1"/>
  <c r="LC29" i="1"/>
  <c r="LC31" i="1"/>
  <c r="LC33" i="1"/>
  <c r="LB29" i="1"/>
  <c r="LB31" i="1"/>
  <c r="LB33" i="1"/>
  <c r="KY33" i="1" l="1"/>
  <c r="KZ33" i="1"/>
  <c r="LA33" i="1"/>
  <c r="KY31" i="1"/>
  <c r="KZ31" i="1"/>
  <c r="LA31" i="1"/>
  <c r="KY29" i="1"/>
  <c r="KZ29" i="1"/>
  <c r="LA29" i="1"/>
  <c r="KX29" i="1" l="1"/>
  <c r="KX31" i="1"/>
  <c r="KX33" i="1"/>
  <c r="KW29" i="1"/>
  <c r="KW31" i="1"/>
  <c r="KW33" i="1"/>
  <c r="KV33" i="1"/>
  <c r="KV31" i="1"/>
  <c r="KV29" i="1"/>
  <c r="KS33" i="1" l="1"/>
  <c r="KT33" i="1"/>
  <c r="KU33" i="1"/>
  <c r="KS31" i="1"/>
  <c r="KT31" i="1"/>
  <c r="KU31" i="1"/>
  <c r="KS29" i="1"/>
  <c r="KT29" i="1"/>
  <c r="KU29" i="1"/>
  <c r="KR33" i="1" l="1"/>
  <c r="KR31" i="1"/>
  <c r="KR29" i="1"/>
  <c r="KQ33" i="1"/>
  <c r="KQ31" i="1"/>
  <c r="KQ29" i="1"/>
  <c r="KP33" i="1"/>
  <c r="KP31" i="1"/>
  <c r="KP29" i="1"/>
  <c r="KM33" i="1" l="1"/>
  <c r="KN33" i="1"/>
  <c r="KO33" i="1"/>
  <c r="KM31" i="1"/>
  <c r="KN31" i="1"/>
  <c r="KO31" i="1"/>
  <c r="KM29" i="1"/>
  <c r="KN29" i="1"/>
  <c r="KO29" i="1"/>
  <c r="KL33" i="1" l="1"/>
  <c r="KL31" i="1"/>
  <c r="KL29" i="1"/>
  <c r="KK33" i="1"/>
  <c r="KK31" i="1"/>
  <c r="KK29" i="1"/>
  <c r="KJ33" i="1"/>
  <c r="KJ31" i="1"/>
  <c r="KJ29" i="1"/>
  <c r="KI33" i="1" l="1"/>
  <c r="KI31" i="1"/>
  <c r="KI29" i="1"/>
  <c r="KH33" i="1"/>
  <c r="KH31" i="1"/>
  <c r="KH29" i="1"/>
  <c r="KG33" i="1"/>
  <c r="KG31" i="1"/>
  <c r="KG29" i="1"/>
  <c r="KE33" i="1" l="1"/>
  <c r="KF33" i="1"/>
  <c r="KE31" i="1"/>
  <c r="KF31" i="1"/>
  <c r="KE29" i="1"/>
  <c r="KF29" i="1"/>
  <c r="KD33" i="1"/>
  <c r="KD31" i="1"/>
  <c r="KD29" i="1"/>
  <c r="KC33" i="1" l="1"/>
  <c r="KC31" i="1"/>
  <c r="KC29" i="1"/>
  <c r="KB33" i="1"/>
  <c r="KB31" i="1"/>
  <c r="KB29" i="1"/>
  <c r="KA33" i="1"/>
  <c r="KA31" i="1"/>
  <c r="KA29" i="1"/>
  <c r="JX29" i="1" l="1"/>
  <c r="JY29" i="1"/>
  <c r="JZ29" i="1"/>
  <c r="JY33" i="1"/>
  <c r="JZ33" i="1"/>
  <c r="JY31" i="1"/>
  <c r="JZ31" i="1"/>
  <c r="JX31" i="1"/>
  <c r="JX33" i="1"/>
  <c r="JW33" i="1"/>
  <c r="JW31" i="1"/>
  <c r="JW29" i="1"/>
  <c r="JU31" i="1" l="1"/>
  <c r="JT33" i="1" l="1"/>
  <c r="JU33" i="1"/>
  <c r="JV33" i="1"/>
  <c r="JV31" i="1"/>
  <c r="JU29" i="1"/>
  <c r="JV29" i="1"/>
  <c r="JT31" i="1" l="1"/>
  <c r="JT29" i="1"/>
  <c r="JS33" i="1"/>
  <c r="JS31" i="1"/>
  <c r="JS29" i="1"/>
  <c r="JR33" i="1"/>
  <c r="JR31" i="1"/>
  <c r="JR29" i="1"/>
  <c r="JQ33" i="1" l="1"/>
  <c r="JQ31" i="1"/>
  <c r="JQ29" i="1"/>
  <c r="JP33" i="1"/>
  <c r="JP31" i="1"/>
  <c r="JP29" i="1"/>
  <c r="JO33" i="1"/>
  <c r="JO31" i="1"/>
  <c r="JO29" i="1"/>
  <c r="JN33" i="1" l="1"/>
  <c r="JN31" i="1"/>
  <c r="JN29" i="1"/>
  <c r="JM33" i="1"/>
  <c r="JM31" i="1"/>
  <c r="JM29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IN33" i="1"/>
  <c r="IM33" i="1"/>
  <c r="JL33" i="1"/>
  <c r="JL31" i="1"/>
  <c r="JL29" i="1"/>
  <c r="JK31" i="1" l="1"/>
  <c r="JK29" i="1"/>
  <c r="JJ31" i="1"/>
  <c r="JJ29" i="1"/>
  <c r="JI31" i="1" l="1"/>
  <c r="JI29" i="1"/>
  <c r="JH31" i="1" l="1"/>
  <c r="JH29" i="1"/>
  <c r="JG31" i="1" l="1"/>
  <c r="JG29" i="1"/>
  <c r="JF31" i="1" l="1"/>
  <c r="JF29" i="1"/>
  <c r="JE31" i="1" l="1"/>
  <c r="JE29" i="1"/>
  <c r="JD31" i="1" l="1"/>
  <c r="JC31" i="1"/>
  <c r="JC29" i="1"/>
  <c r="JD29" i="1"/>
  <c r="JB31" i="1" l="1"/>
  <c r="JB29" i="1"/>
  <c r="JA31" i="1" l="1"/>
  <c r="JA29" i="1"/>
  <c r="IZ29" i="1"/>
  <c r="IZ31" i="1"/>
  <c r="IY31" i="1" l="1"/>
  <c r="IY29" i="1"/>
  <c r="IW31" i="1" l="1"/>
  <c r="IX31" i="1"/>
  <c r="IX29" i="1"/>
  <c r="IV29" i="1"/>
  <c r="IW29" i="1"/>
  <c r="IV31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S17" i="1"/>
  <c r="R17" i="1"/>
  <c r="Q17" i="1"/>
  <c r="P17" i="1"/>
  <c r="FJ15" i="1"/>
  <c r="FI15" i="1"/>
  <c r="CY15" i="1"/>
  <c r="CX15" i="1"/>
  <c r="CW15" i="1"/>
  <c r="S14" i="1"/>
  <c r="R14" i="1"/>
  <c r="Q14" i="1"/>
  <c r="FJ12" i="1"/>
  <c r="FI12" i="1"/>
  <c r="CY12" i="1"/>
  <c r="CX12" i="1"/>
  <c r="CW12" i="1"/>
  <c r="DQ11" i="1"/>
  <c r="DD11" i="1"/>
  <c r="DC11" i="1"/>
  <c r="DB11" i="1"/>
  <c r="DA11" i="1"/>
  <c r="CZ11" i="1"/>
  <c r="CY11" i="1"/>
  <c r="CX11" i="1"/>
  <c r="S9" i="1"/>
  <c r="R9" i="1"/>
  <c r="Q9" i="1"/>
  <c r="P9" i="1"/>
  <c r="N9" i="1"/>
  <c r="M9" i="1"/>
  <c r="L9" i="1"/>
  <c r="K9" i="1"/>
  <c r="J9" i="1"/>
  <c r="I9" i="1"/>
  <c r="H9" i="1"/>
  <c r="G9" i="1"/>
  <c r="E9" i="1"/>
  <c r="D9" i="1"/>
  <c r="C9" i="1"/>
  <c r="B9" i="1"/>
  <c r="FL7" i="1"/>
  <c r="FL29" i="1" s="1"/>
  <c r="FK7" i="1"/>
  <c r="FK29" i="1" s="1"/>
  <c r="FJ7" i="1"/>
  <c r="FJ29" i="1" s="1"/>
  <c r="FI7" i="1"/>
  <c r="FI29" i="1" s="1"/>
</calcChain>
</file>

<file path=xl/sharedStrings.xml><?xml version="1.0" encoding="utf-8"?>
<sst xmlns="http://schemas.openxmlformats.org/spreadsheetml/2006/main" count="82" uniqueCount="33">
  <si>
    <t>Monthly Summarised Trading Statistics</t>
  </si>
  <si>
    <t>Total Turnover (Rs) Equity</t>
  </si>
  <si>
    <t xml:space="preserve">  Domestic (Rs)</t>
  </si>
  <si>
    <t xml:space="preserve">  Foreign (Rs)</t>
  </si>
  <si>
    <t>Market Days (No)</t>
  </si>
  <si>
    <t>Daily Average Turnover (Rs) Equity</t>
  </si>
  <si>
    <t>Trades (No) Equity</t>
  </si>
  <si>
    <t xml:space="preserve">  Domestic (No)</t>
  </si>
  <si>
    <t xml:space="preserve">  Foreign (No)</t>
  </si>
  <si>
    <t>Shares traded (No) Equity</t>
  </si>
  <si>
    <t xml:space="preserve">  Domestic (No) </t>
  </si>
  <si>
    <t>Companies Traded</t>
  </si>
  <si>
    <t>Companies Listed</t>
  </si>
  <si>
    <t>All Share Price Index</t>
  </si>
  <si>
    <t>Sensitive / Milanka (since 1999)</t>
  </si>
  <si>
    <t>-</t>
  </si>
  <si>
    <t>S&amp;P Sri Lanka 20</t>
  </si>
  <si>
    <t>Market Capitalization (Rs Bn)</t>
  </si>
  <si>
    <t xml:space="preserve">Market PER </t>
  </si>
  <si>
    <t>Dividend Yield</t>
  </si>
  <si>
    <t>Market PBV</t>
  </si>
  <si>
    <t xml:space="preserve"> </t>
  </si>
  <si>
    <t>Turnover to Market Capitalization (%)</t>
  </si>
  <si>
    <t>Price Indices</t>
  </si>
  <si>
    <t>y-o-y Change % - ASPI</t>
  </si>
  <si>
    <t>y-o-y Change % - MILANKA</t>
  </si>
  <si>
    <t xml:space="preserve">                                               </t>
  </si>
  <si>
    <t>y-o-y Change % - S&amp;P SL20</t>
  </si>
  <si>
    <t>Market Closed Due To COVID - 19</t>
  </si>
  <si>
    <t>1,842,980,47</t>
  </si>
  <si>
    <t>2,378,839,05</t>
  </si>
  <si>
    <t>N/A</t>
  </si>
  <si>
    <t>110,127,82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</si>
</sst>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0.0_);\(0.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 tint="0.39997558519241921"/>
      <name val="Arial"/>
      <family val="2"/>
    </font>
    <font>
      <sz val="9"/>
      <color theme="3" tint="0.3999755851924192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3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theme="3" tint="0.3999755851924192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3" tint="0.3999755851924192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3" tint="0.3999755851924192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3" tint="0.39997558519241921"/>
      </top>
      <bottom/>
      <diagonal/>
    </border>
    <border>
      <left/>
      <right style="medium">
        <color theme="4" tint="-0.24994659260841701"/>
      </right>
      <top/>
      <bottom/>
      <diagonal/>
    </border>
    <border>
      <left/>
      <right/>
      <top style="medium">
        <color theme="3" tint="0.39997558519241921"/>
      </top>
      <bottom/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auto="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auto="1"/>
      </top>
      <bottom/>
      <diagonal/>
    </border>
    <border>
      <left style="medium">
        <color theme="4" tint="-0.24994659260841701"/>
      </left>
      <right/>
      <top style="medium">
        <color auto="1"/>
      </top>
      <bottom/>
      <diagonal/>
    </border>
    <border>
      <left style="medium">
        <color rgb="FF0070C0"/>
      </left>
      <right style="medium">
        <color rgb="FF0070C0"/>
      </right>
      <top style="medium">
        <color theme="1"/>
      </top>
      <bottom/>
      <diagonal/>
    </border>
    <border>
      <left style="medium">
        <color rgb="FF0070C0"/>
      </left>
      <right/>
      <top style="medium">
        <color theme="1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/>
      <right/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 style="medium">
        <color theme="8" tint="-0.24994659260841701"/>
      </left>
      <right style="medium">
        <color theme="8" tint="-0.24994659260841701"/>
      </right>
      <top/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 style="medium">
        <color theme="8" tint="-0.24994659260841701"/>
      </left>
      <right/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 style="medium">
        <color theme="8"/>
      </left>
      <right style="medium">
        <color theme="4" tint="-0.249977111117893"/>
      </right>
      <top/>
      <bottom/>
      <diagonal/>
    </border>
    <border>
      <left style="medium">
        <color theme="8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thin">
        <color theme="8"/>
      </left>
      <right style="medium">
        <color theme="8"/>
      </right>
      <top/>
      <bottom/>
      <diagonal/>
    </border>
    <border>
      <left/>
      <right style="medium">
        <color theme="8"/>
      </right>
      <top/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4"/>
      </left>
      <right style="medium">
        <color theme="4"/>
      </right>
      <top/>
      <bottom style="medium">
        <color theme="8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medium">
        <color theme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221">
    <xf numFmtId="0" fontId="0" fillId="0" borderId="0" xfId="0"/>
    <xf numFmtId="0" fontId="4" fillId="0" borderId="0" xfId="0" applyFont="1"/>
    <xf numFmtId="3" fontId="4" fillId="0" borderId="0" xfId="0" applyNumberFormat="1" applyFont="1"/>
    <xf numFmtId="164" fontId="4" fillId="0" borderId="0" xfId="1" applyNumberFormat="1" applyFont="1"/>
    <xf numFmtId="43" fontId="4" fillId="0" borderId="0" xfId="1" applyFont="1"/>
    <xf numFmtId="165" fontId="4" fillId="0" borderId="0" xfId="0" applyNumberFormat="1" applyFont="1"/>
    <xf numFmtId="166" fontId="4" fillId="0" borderId="0" xfId="1" applyNumberFormat="1" applyFont="1"/>
    <xf numFmtId="167" fontId="4" fillId="0" borderId="0" xfId="0" applyNumberFormat="1" applyFont="1"/>
    <xf numFmtId="164" fontId="4" fillId="0" borderId="0" xfId="0" applyNumberFormat="1" applyFont="1"/>
    <xf numFmtId="3" fontId="4" fillId="0" borderId="2" xfId="0" applyNumberFormat="1" applyFont="1" applyBorder="1"/>
    <xf numFmtId="0" fontId="4" fillId="0" borderId="2" xfId="0" applyFont="1" applyBorder="1"/>
    <xf numFmtId="165" fontId="4" fillId="0" borderId="2" xfId="0" applyNumberFormat="1" applyFont="1" applyBorder="1"/>
    <xf numFmtId="43" fontId="4" fillId="0" borderId="2" xfId="1" applyFont="1" applyBorder="1"/>
    <xf numFmtId="43" fontId="4" fillId="0" borderId="2" xfId="0" applyNumberFormat="1" applyFont="1" applyBorder="1"/>
    <xf numFmtId="164" fontId="4" fillId="0" borderId="2" xfId="1" applyNumberFormat="1" applyFont="1" applyBorder="1"/>
    <xf numFmtId="3" fontId="4" fillId="0" borderId="2" xfId="2" applyNumberFormat="1" applyFont="1" applyBorder="1"/>
    <xf numFmtId="3" fontId="4" fillId="0" borderId="2" xfId="0" applyNumberFormat="1" applyFont="1" applyBorder="1" applyAlignment="1">
      <alignment horizontal="right"/>
    </xf>
    <xf numFmtId="1" fontId="4" fillId="0" borderId="2" xfId="0" applyNumberFormat="1" applyFont="1" applyBorder="1"/>
    <xf numFmtId="0" fontId="4" fillId="0" borderId="2" xfId="2" applyFont="1" applyBorder="1"/>
    <xf numFmtId="166" fontId="4" fillId="0" borderId="2" xfId="1" applyNumberFormat="1" applyFont="1" applyBorder="1"/>
    <xf numFmtId="2" fontId="4" fillId="0" borderId="2" xfId="0" applyNumberFormat="1" applyFont="1" applyBorder="1"/>
    <xf numFmtId="2" fontId="4" fillId="0" borderId="2" xfId="1" applyNumberFormat="1" applyFont="1" applyBorder="1"/>
    <xf numFmtId="43" fontId="4" fillId="0" borderId="2" xfId="1" applyFont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167" fontId="4" fillId="0" borderId="2" xfId="0" applyNumberFormat="1" applyFont="1" applyBorder="1"/>
    <xf numFmtId="0" fontId="6" fillId="2" borderId="2" xfId="0" applyFont="1" applyFill="1" applyBorder="1"/>
    <xf numFmtId="3" fontId="6" fillId="2" borderId="2" xfId="0" applyNumberFormat="1" applyFont="1" applyFill="1" applyBorder="1"/>
    <xf numFmtId="165" fontId="6" fillId="2" borderId="2" xfId="0" applyNumberFormat="1" applyFont="1" applyFill="1" applyBorder="1"/>
    <xf numFmtId="167" fontId="6" fillId="2" borderId="2" xfId="0" applyNumberFormat="1" applyFont="1" applyFill="1" applyBorder="1"/>
    <xf numFmtId="164" fontId="4" fillId="0" borderId="0" xfId="1" applyNumberFormat="1" applyFont="1" applyProtection="1"/>
    <xf numFmtId="43" fontId="4" fillId="0" borderId="0" xfId="1" applyFont="1" applyProtection="1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164" fontId="4" fillId="0" borderId="1" xfId="1" applyNumberFormat="1" applyFont="1" applyBorder="1" applyProtection="1"/>
    <xf numFmtId="0" fontId="6" fillId="2" borderId="2" xfId="0" applyFont="1" applyFill="1" applyBorder="1" applyAlignment="1">
      <alignment horizontal="center"/>
    </xf>
    <xf numFmtId="167" fontId="6" fillId="2" borderId="5" xfId="0" applyNumberFormat="1" applyFont="1" applyFill="1" applyBorder="1"/>
    <xf numFmtId="167" fontId="4" fillId="0" borderId="5" xfId="0" applyNumberFormat="1" applyFont="1" applyBorder="1"/>
    <xf numFmtId="43" fontId="4" fillId="0" borderId="5" xfId="1" applyFont="1" applyBorder="1"/>
    <xf numFmtId="0" fontId="4" fillId="0" borderId="0" xfId="0" applyFont="1" applyAlignment="1">
      <alignment horizontal="center"/>
    </xf>
    <xf numFmtId="166" fontId="4" fillId="0" borderId="2" xfId="0" applyNumberFormat="1" applyFont="1" applyBorder="1"/>
    <xf numFmtId="166" fontId="4" fillId="0" borderId="5" xfId="1" applyNumberFormat="1" applyFont="1" applyBorder="1"/>
    <xf numFmtId="164" fontId="4" fillId="0" borderId="2" xfId="1" applyNumberFormat="1" applyFont="1" applyFill="1" applyBorder="1"/>
    <xf numFmtId="166" fontId="4" fillId="0" borderId="2" xfId="1" applyNumberFormat="1" applyFont="1" applyFill="1" applyBorder="1"/>
    <xf numFmtId="43" fontId="4" fillId="0" borderId="2" xfId="1" applyFont="1" applyFill="1" applyBorder="1"/>
    <xf numFmtId="3" fontId="4" fillId="0" borderId="5" xfId="0" applyNumberFormat="1" applyFont="1" applyBorder="1"/>
    <xf numFmtId="0" fontId="4" fillId="0" borderId="5" xfId="0" applyFont="1" applyBorder="1"/>
    <xf numFmtId="164" fontId="4" fillId="0" borderId="5" xfId="1" applyNumberFormat="1" applyFont="1" applyBorder="1"/>
    <xf numFmtId="2" fontId="6" fillId="2" borderId="2" xfId="0" applyNumberFormat="1" applyFont="1" applyFill="1" applyBorder="1"/>
    <xf numFmtId="2" fontId="4" fillId="0" borderId="2" xfId="2" applyNumberFormat="1" applyFont="1" applyBorder="1"/>
    <xf numFmtId="2" fontId="4" fillId="0" borderId="0" xfId="0" applyNumberFormat="1" applyFont="1"/>
    <xf numFmtId="0" fontId="4" fillId="0" borderId="9" xfId="0" applyFont="1" applyBorder="1"/>
    <xf numFmtId="3" fontId="4" fillId="0" borderId="9" xfId="0" applyNumberFormat="1" applyFont="1" applyBorder="1"/>
    <xf numFmtId="166" fontId="4" fillId="0" borderId="9" xfId="1" applyNumberFormat="1" applyFont="1" applyBorder="1"/>
    <xf numFmtId="165" fontId="4" fillId="0" borderId="9" xfId="0" applyNumberFormat="1" applyFont="1" applyBorder="1"/>
    <xf numFmtId="2" fontId="4" fillId="0" borderId="9" xfId="0" applyNumberFormat="1" applyFont="1" applyBorder="1"/>
    <xf numFmtId="43" fontId="4" fillId="0" borderId="9" xfId="1" applyFont="1" applyBorder="1"/>
    <xf numFmtId="166" fontId="4" fillId="0" borderId="10" xfId="1" applyNumberFormat="1" applyFont="1" applyBorder="1"/>
    <xf numFmtId="0" fontId="4" fillId="0" borderId="12" xfId="0" applyFont="1" applyBorder="1"/>
    <xf numFmtId="3" fontId="4" fillId="0" borderId="12" xfId="0" applyNumberFormat="1" applyFont="1" applyBorder="1"/>
    <xf numFmtId="166" fontId="4" fillId="0" borderId="12" xfId="1" applyNumberFormat="1" applyFont="1" applyBorder="1"/>
    <xf numFmtId="165" fontId="4" fillId="0" borderId="12" xfId="0" applyNumberFormat="1" applyFont="1" applyBorder="1"/>
    <xf numFmtId="2" fontId="4" fillId="0" borderId="12" xfId="0" applyNumberFormat="1" applyFont="1" applyBorder="1"/>
    <xf numFmtId="167" fontId="4" fillId="0" borderId="12" xfId="0" applyNumberFormat="1" applyFont="1" applyBorder="1"/>
    <xf numFmtId="166" fontId="4" fillId="0" borderId="13" xfId="1" applyNumberFormat="1" applyFont="1" applyBorder="1"/>
    <xf numFmtId="2" fontId="4" fillId="0" borderId="2" xfId="1" applyNumberFormat="1" applyFont="1" applyBorder="1" applyAlignment="1">
      <alignment horizontal="right"/>
    </xf>
    <xf numFmtId="43" fontId="6" fillId="2" borderId="2" xfId="1" applyFont="1" applyFill="1" applyBorder="1"/>
    <xf numFmtId="43" fontId="4" fillId="0" borderId="12" xfId="1" applyFont="1" applyBorder="1"/>
    <xf numFmtId="43" fontId="4" fillId="0" borderId="2" xfId="1" applyFont="1" applyFill="1" applyBorder="1" applyAlignment="1">
      <alignment horizontal="right"/>
    </xf>
    <xf numFmtId="43" fontId="4" fillId="0" borderId="9" xfId="1" applyFont="1" applyBorder="1" applyAlignment="1">
      <alignment horizontal="right"/>
    </xf>
    <xf numFmtId="43" fontId="4" fillId="0" borderId="12" xfId="1" applyFont="1" applyBorder="1" applyAlignment="1">
      <alignment horizontal="right"/>
    </xf>
    <xf numFmtId="165" fontId="6" fillId="2" borderId="15" xfId="0" applyNumberFormat="1" applyFont="1" applyFill="1" applyBorder="1"/>
    <xf numFmtId="165" fontId="4" fillId="0" borderId="15" xfId="0" applyNumberFormat="1" applyFont="1" applyBorder="1"/>
    <xf numFmtId="164" fontId="4" fillId="0" borderId="15" xfId="1" applyNumberFormat="1" applyFont="1" applyBorder="1"/>
    <xf numFmtId="43" fontId="4" fillId="0" borderId="15" xfId="1" applyFont="1" applyBorder="1"/>
    <xf numFmtId="166" fontId="4" fillId="0" borderId="15" xfId="1" applyNumberFormat="1" applyFont="1" applyBorder="1"/>
    <xf numFmtId="166" fontId="4" fillId="0" borderId="15" xfId="1" applyNumberFormat="1" applyFont="1" applyFill="1" applyBorder="1"/>
    <xf numFmtId="166" fontId="4" fillId="0" borderId="16" xfId="1" applyNumberFormat="1" applyFont="1" applyBorder="1"/>
    <xf numFmtId="166" fontId="4" fillId="0" borderId="14" xfId="1" applyNumberFormat="1" applyFont="1" applyBorder="1"/>
    <xf numFmtId="0" fontId="4" fillId="0" borderId="11" xfId="0" applyFont="1" applyBorder="1"/>
    <xf numFmtId="166" fontId="4" fillId="0" borderId="17" xfId="1" applyNumberFormat="1" applyFont="1" applyBorder="1"/>
    <xf numFmtId="166" fontId="4" fillId="0" borderId="18" xfId="1" applyNumberFormat="1" applyFont="1" applyBorder="1"/>
    <xf numFmtId="0" fontId="4" fillId="0" borderId="19" xfId="0" applyFont="1" applyBorder="1"/>
    <xf numFmtId="166" fontId="4" fillId="0" borderId="19" xfId="1" applyNumberFormat="1" applyFont="1" applyBorder="1"/>
    <xf numFmtId="167" fontId="4" fillId="0" borderId="19" xfId="0" applyNumberFormat="1" applyFont="1" applyBorder="1"/>
    <xf numFmtId="166" fontId="4" fillId="0" borderId="20" xfId="1" applyNumberFormat="1" applyFont="1" applyBorder="1"/>
    <xf numFmtId="0" fontId="4" fillId="0" borderId="21" xfId="0" applyFont="1" applyBorder="1"/>
    <xf numFmtId="3" fontId="4" fillId="0" borderId="19" xfId="0" applyNumberFormat="1" applyFont="1" applyBorder="1"/>
    <xf numFmtId="43" fontId="4" fillId="0" borderId="19" xfId="1" applyFont="1" applyBorder="1"/>
    <xf numFmtId="2" fontId="4" fillId="0" borderId="19" xfId="0" applyNumberFormat="1" applyFont="1" applyBorder="1"/>
    <xf numFmtId="165" fontId="4" fillId="0" borderId="19" xfId="0" applyNumberFormat="1" applyFont="1" applyBorder="1"/>
    <xf numFmtId="166" fontId="4" fillId="0" borderId="22" xfId="1" applyNumberFormat="1" applyFont="1" applyBorder="1"/>
    <xf numFmtId="0" fontId="4" fillId="0" borderId="23" xfId="0" applyFont="1" applyBorder="1"/>
    <xf numFmtId="166" fontId="4" fillId="0" borderId="23" xfId="1" applyNumberFormat="1" applyFont="1" applyBorder="1"/>
    <xf numFmtId="167" fontId="4" fillId="0" borderId="23" xfId="0" applyNumberFormat="1" applyFont="1" applyBorder="1"/>
    <xf numFmtId="166" fontId="4" fillId="0" borderId="24" xfId="1" applyNumberFormat="1" applyFont="1" applyBorder="1"/>
    <xf numFmtId="3" fontId="4" fillId="0" borderId="23" xfId="0" applyNumberFormat="1" applyFont="1" applyBorder="1"/>
    <xf numFmtId="43" fontId="4" fillId="0" borderId="23" xfId="1" applyFont="1" applyBorder="1"/>
    <xf numFmtId="2" fontId="4" fillId="0" borderId="23" xfId="0" applyNumberFormat="1" applyFont="1" applyBorder="1"/>
    <xf numFmtId="165" fontId="4" fillId="0" borderId="23" xfId="0" applyNumberFormat="1" applyFont="1" applyBorder="1"/>
    <xf numFmtId="0" fontId="4" fillId="0" borderId="25" xfId="0" applyFont="1" applyBorder="1"/>
    <xf numFmtId="165" fontId="4" fillId="0" borderId="26" xfId="0" applyNumberFormat="1" applyFont="1" applyBorder="1"/>
    <xf numFmtId="165" fontId="4" fillId="0" borderId="24" xfId="0" applyNumberFormat="1" applyFont="1" applyBorder="1"/>
    <xf numFmtId="0" fontId="4" fillId="0" borderId="27" xfId="0" applyFont="1" applyBorder="1"/>
    <xf numFmtId="0" fontId="4" fillId="0" borderId="29" xfId="0" applyFont="1" applyBorder="1"/>
    <xf numFmtId="3" fontId="4" fillId="0" borderId="26" xfId="0" applyNumberFormat="1" applyFont="1" applyBorder="1"/>
    <xf numFmtId="0" fontId="4" fillId="0" borderId="26" xfId="0" applyFont="1" applyBorder="1"/>
    <xf numFmtId="43" fontId="4" fillId="0" borderId="26" xfId="1" applyFont="1" applyBorder="1"/>
    <xf numFmtId="2" fontId="4" fillId="0" borderId="26" xfId="0" applyNumberFormat="1" applyFont="1" applyBorder="1"/>
    <xf numFmtId="165" fontId="4" fillId="0" borderId="30" xfId="0" applyNumberFormat="1" applyFont="1" applyBorder="1"/>
    <xf numFmtId="0" fontId="4" fillId="0" borderId="31" xfId="0" applyFont="1" applyBorder="1"/>
    <xf numFmtId="3" fontId="4" fillId="0" borderId="31" xfId="0" applyNumberFormat="1" applyFont="1" applyBorder="1"/>
    <xf numFmtId="43" fontId="4" fillId="0" borderId="31" xfId="1" applyFont="1" applyBorder="1"/>
    <xf numFmtId="2" fontId="4" fillId="0" borderId="31" xfId="0" applyNumberFormat="1" applyFont="1" applyBorder="1"/>
    <xf numFmtId="165" fontId="4" fillId="0" borderId="31" xfId="0" applyNumberFormat="1" applyFont="1" applyBorder="1"/>
    <xf numFmtId="167" fontId="4" fillId="0" borderId="31" xfId="0" applyNumberFormat="1" applyFont="1" applyBorder="1"/>
    <xf numFmtId="165" fontId="4" fillId="0" borderId="32" xfId="0" applyNumberFormat="1" applyFont="1" applyBorder="1"/>
    <xf numFmtId="165" fontId="4" fillId="0" borderId="33" xfId="0" applyNumberFormat="1" applyFont="1" applyBorder="1"/>
    <xf numFmtId="3" fontId="4" fillId="0" borderId="0" xfId="0" applyNumberFormat="1" applyFont="1" applyAlignment="1">
      <alignment horizontal="right"/>
    </xf>
    <xf numFmtId="0" fontId="4" fillId="0" borderId="34" xfId="0" applyFont="1" applyBorder="1"/>
    <xf numFmtId="3" fontId="4" fillId="0" borderId="35" xfId="0" applyNumberFormat="1" applyFont="1" applyBorder="1"/>
    <xf numFmtId="3" fontId="4" fillId="0" borderId="35" xfId="0" applyNumberFormat="1" applyFont="1" applyBorder="1" applyAlignment="1">
      <alignment horizontal="right"/>
    </xf>
    <xf numFmtId="0" fontId="4" fillId="0" borderId="35" xfId="0" applyFont="1" applyBorder="1"/>
    <xf numFmtId="43" fontId="4" fillId="0" borderId="35" xfId="1" applyFont="1" applyBorder="1"/>
    <xf numFmtId="2" fontId="4" fillId="0" borderId="35" xfId="0" applyNumberFormat="1" applyFont="1" applyBorder="1"/>
    <xf numFmtId="165" fontId="4" fillId="0" borderId="35" xfId="0" applyNumberFormat="1" applyFont="1" applyBorder="1"/>
    <xf numFmtId="165" fontId="4" fillId="0" borderId="36" xfId="0" applyNumberFormat="1" applyFont="1" applyBorder="1"/>
    <xf numFmtId="166" fontId="4" fillId="0" borderId="28" xfId="1" applyNumberFormat="1" applyFont="1" applyBorder="1"/>
    <xf numFmtId="166" fontId="4" fillId="0" borderId="26" xfId="1" applyNumberFormat="1" applyFont="1" applyBorder="1"/>
    <xf numFmtId="167" fontId="4" fillId="0" borderId="35" xfId="0" applyNumberFormat="1" applyFont="1" applyBorder="1"/>
    <xf numFmtId="166" fontId="4" fillId="0" borderId="30" xfId="1" applyNumberFormat="1" applyFont="1" applyBorder="1"/>
    <xf numFmtId="3" fontId="8" fillId="0" borderId="23" xfId="0" applyNumberFormat="1" applyFont="1" applyBorder="1"/>
    <xf numFmtId="0" fontId="8" fillId="0" borderId="23" xfId="0" applyFont="1" applyBorder="1"/>
    <xf numFmtId="4" fontId="8" fillId="0" borderId="23" xfId="0" applyNumberFormat="1" applyFont="1" applyBorder="1"/>
    <xf numFmtId="166" fontId="4" fillId="0" borderId="23" xfId="1" applyNumberFormat="1" applyFont="1" applyBorder="1" applyAlignment="1">
      <alignment horizontal="right"/>
    </xf>
    <xf numFmtId="167" fontId="4" fillId="0" borderId="23" xfId="0" applyNumberFormat="1" applyFont="1" applyBorder="1" applyAlignment="1">
      <alignment horizontal="right"/>
    </xf>
    <xf numFmtId="166" fontId="4" fillId="0" borderId="24" xfId="1" applyNumberFormat="1" applyFont="1" applyBorder="1" applyAlignment="1">
      <alignment horizontal="right"/>
    </xf>
    <xf numFmtId="167" fontId="4" fillId="0" borderId="26" xfId="0" applyNumberFormat="1" applyFont="1" applyBorder="1"/>
    <xf numFmtId="3" fontId="9" fillId="0" borderId="0" xfId="0" applyNumberFormat="1" applyFont="1"/>
    <xf numFmtId="0" fontId="4" fillId="0" borderId="41" xfId="0" applyFont="1" applyBorder="1"/>
    <xf numFmtId="3" fontId="4" fillId="0" borderId="41" xfId="0" applyNumberFormat="1" applyFont="1" applyBorder="1"/>
    <xf numFmtId="43" fontId="4" fillId="0" borderId="41" xfId="1" applyFont="1" applyBorder="1"/>
    <xf numFmtId="2" fontId="4" fillId="0" borderId="41" xfId="0" applyNumberFormat="1" applyFont="1" applyBorder="1"/>
    <xf numFmtId="165" fontId="4" fillId="0" borderId="41" xfId="0" applyNumberFormat="1" applyFont="1" applyBorder="1"/>
    <xf numFmtId="166" fontId="4" fillId="0" borderId="42" xfId="1" applyNumberFormat="1" applyFont="1" applyBorder="1"/>
    <xf numFmtId="166" fontId="4" fillId="0" borderId="41" xfId="1" applyNumberFormat="1" applyFont="1" applyBorder="1"/>
    <xf numFmtId="167" fontId="4" fillId="0" borderId="41" xfId="0" applyNumberFormat="1" applyFont="1" applyBorder="1"/>
    <xf numFmtId="166" fontId="4" fillId="0" borderId="43" xfId="1" applyNumberFormat="1" applyFont="1" applyBorder="1"/>
    <xf numFmtId="0" fontId="4" fillId="0" borderId="39" xfId="0" applyFont="1" applyBorder="1"/>
    <xf numFmtId="0" fontId="4" fillId="0" borderId="45" xfId="0" applyFont="1" applyBorder="1"/>
    <xf numFmtId="0" fontId="4" fillId="0" borderId="40" xfId="0" applyFont="1" applyBorder="1"/>
    <xf numFmtId="3" fontId="4" fillId="0" borderId="39" xfId="0" applyNumberFormat="1" applyFont="1" applyBorder="1"/>
    <xf numFmtId="3" fontId="4" fillId="0" borderId="45" xfId="0" applyNumberFormat="1" applyFont="1" applyBorder="1"/>
    <xf numFmtId="3" fontId="4" fillId="0" borderId="40" xfId="0" applyNumberFormat="1" applyFont="1" applyBorder="1"/>
    <xf numFmtId="43" fontId="4" fillId="0" borderId="39" xfId="1" applyFont="1" applyBorder="1"/>
    <xf numFmtId="43" fontId="4" fillId="0" borderId="45" xfId="1" applyFont="1" applyBorder="1"/>
    <xf numFmtId="43" fontId="4" fillId="0" borderId="40" xfId="1" applyFont="1" applyBorder="1"/>
    <xf numFmtId="2" fontId="4" fillId="0" borderId="39" xfId="0" applyNumberFormat="1" applyFont="1" applyBorder="1"/>
    <xf numFmtId="2" fontId="4" fillId="0" borderId="45" xfId="0" applyNumberFormat="1" applyFont="1" applyBorder="1"/>
    <xf numFmtId="2" fontId="4" fillId="0" borderId="40" xfId="0" applyNumberFormat="1" applyFont="1" applyBorder="1"/>
    <xf numFmtId="165" fontId="4" fillId="0" borderId="39" xfId="0" applyNumberFormat="1" applyFont="1" applyBorder="1"/>
    <xf numFmtId="165" fontId="4" fillId="0" borderId="45" xfId="0" applyNumberFormat="1" applyFont="1" applyBorder="1"/>
    <xf numFmtId="165" fontId="4" fillId="0" borderId="40" xfId="0" applyNumberFormat="1" applyFont="1" applyBorder="1"/>
    <xf numFmtId="166" fontId="4" fillId="0" borderId="37" xfId="1" applyNumberFormat="1" applyFont="1" applyBorder="1"/>
    <xf numFmtId="166" fontId="4" fillId="0" borderId="44" xfId="1" applyNumberFormat="1" applyFont="1" applyBorder="1"/>
    <xf numFmtId="166" fontId="4" fillId="0" borderId="38" xfId="1" applyNumberFormat="1" applyFont="1" applyBorder="1"/>
    <xf numFmtId="166" fontId="4" fillId="0" borderId="39" xfId="1" applyNumberFormat="1" applyFont="1" applyBorder="1"/>
    <xf numFmtId="166" fontId="4" fillId="0" borderId="45" xfId="1" applyNumberFormat="1" applyFont="1" applyBorder="1"/>
    <xf numFmtId="166" fontId="4" fillId="0" borderId="40" xfId="1" applyNumberFormat="1" applyFont="1" applyBorder="1"/>
    <xf numFmtId="167" fontId="4" fillId="0" borderId="39" xfId="0" applyNumberFormat="1" applyFont="1" applyBorder="1"/>
    <xf numFmtId="167" fontId="4" fillId="0" borderId="45" xfId="0" applyNumberFormat="1" applyFont="1" applyBorder="1"/>
    <xf numFmtId="167" fontId="4" fillId="0" borderId="40" xfId="0" applyNumberFormat="1" applyFont="1" applyBorder="1"/>
    <xf numFmtId="166" fontId="4" fillId="0" borderId="46" xfId="1" applyNumberFormat="1" applyFont="1" applyBorder="1"/>
    <xf numFmtId="166" fontId="4" fillId="0" borderId="47" xfId="1" applyNumberFormat="1" applyFont="1" applyBorder="1"/>
    <xf numFmtId="166" fontId="4" fillId="0" borderId="48" xfId="1" applyNumberFormat="1" applyFont="1" applyBorder="1"/>
    <xf numFmtId="3" fontId="4" fillId="0" borderId="45" xfId="0" applyNumberFormat="1" applyFont="1" applyBorder="1" applyAlignment="1">
      <alignment horizontal="right"/>
    </xf>
    <xf numFmtId="43" fontId="4" fillId="0" borderId="23" xfId="1" applyFont="1" applyBorder="1" applyAlignment="1">
      <alignment horizontal="right"/>
    </xf>
    <xf numFmtId="0" fontId="4" fillId="0" borderId="50" xfId="0" applyFont="1" applyBorder="1"/>
    <xf numFmtId="3" fontId="4" fillId="0" borderId="50" xfId="0" applyNumberFormat="1" applyFont="1" applyBorder="1"/>
    <xf numFmtId="43" fontId="4" fillId="0" borderId="50" xfId="1" applyFont="1" applyBorder="1"/>
    <xf numFmtId="2" fontId="4" fillId="0" borderId="50" xfId="0" applyNumberFormat="1" applyFont="1" applyBorder="1"/>
    <xf numFmtId="165" fontId="4" fillId="0" borderId="50" xfId="0" applyNumberFormat="1" applyFont="1" applyBorder="1"/>
    <xf numFmtId="165" fontId="4" fillId="0" borderId="49" xfId="0" applyNumberFormat="1" applyFont="1" applyBorder="1"/>
    <xf numFmtId="43" fontId="4" fillId="0" borderId="0" xfId="1" applyFont="1" applyBorder="1"/>
    <xf numFmtId="165" fontId="4" fillId="0" borderId="51" xfId="0" applyNumberFormat="1" applyFont="1" applyBorder="1"/>
    <xf numFmtId="0" fontId="4" fillId="0" borderId="53" xfId="0" applyFont="1" applyBorder="1"/>
    <xf numFmtId="3" fontId="4" fillId="0" borderId="53" xfId="0" applyNumberFormat="1" applyFont="1" applyBorder="1"/>
    <xf numFmtId="43" fontId="4" fillId="0" borderId="53" xfId="1" applyFont="1" applyBorder="1"/>
    <xf numFmtId="2" fontId="4" fillId="0" borderId="53" xfId="0" applyNumberFormat="1" applyFont="1" applyBorder="1"/>
    <xf numFmtId="165" fontId="4" fillId="0" borderId="53" xfId="0" applyNumberFormat="1" applyFont="1" applyBorder="1"/>
    <xf numFmtId="166" fontId="4" fillId="0" borderId="52" xfId="1" applyNumberFormat="1" applyFont="1" applyBorder="1"/>
    <xf numFmtId="166" fontId="4" fillId="0" borderId="53" xfId="1" applyNumberFormat="1" applyFont="1" applyBorder="1"/>
    <xf numFmtId="167" fontId="4" fillId="0" borderId="53" xfId="0" applyNumberFormat="1" applyFont="1" applyBorder="1"/>
    <xf numFmtId="166" fontId="4" fillId="0" borderId="54" xfId="1" applyNumberFormat="1" applyFont="1" applyBorder="1"/>
    <xf numFmtId="0" fontId="10" fillId="0" borderId="0" xfId="0" applyFont="1"/>
    <xf numFmtId="17" fontId="6" fillId="2" borderId="38" xfId="0" applyNumberFormat="1" applyFont="1" applyFill="1" applyBorder="1" applyAlignment="1">
      <alignment horizontal="center"/>
    </xf>
    <xf numFmtId="17" fontId="6" fillId="2" borderId="40" xfId="0" applyNumberFormat="1" applyFont="1" applyFill="1" applyBorder="1" applyAlignment="1">
      <alignment horizontal="center"/>
    </xf>
    <xf numFmtId="17" fontId="6" fillId="2" borderId="44" xfId="0" applyNumberFormat="1" applyFont="1" applyFill="1" applyBorder="1" applyAlignment="1">
      <alignment horizontal="center"/>
    </xf>
    <xf numFmtId="17" fontId="6" fillId="2" borderId="45" xfId="0" applyNumberFormat="1" applyFont="1" applyFill="1" applyBorder="1" applyAlignment="1">
      <alignment horizontal="center"/>
    </xf>
    <xf numFmtId="17" fontId="6" fillId="2" borderId="37" xfId="0" applyNumberFormat="1" applyFont="1" applyFill="1" applyBorder="1" applyAlignment="1">
      <alignment horizontal="center"/>
    </xf>
    <xf numFmtId="17" fontId="6" fillId="2" borderId="39" xfId="0" applyNumberFormat="1" applyFont="1" applyFill="1" applyBorder="1" applyAlignment="1">
      <alignment horizontal="center"/>
    </xf>
    <xf numFmtId="17" fontId="6" fillId="2" borderId="52" xfId="0" applyNumberFormat="1" applyFont="1" applyFill="1" applyBorder="1" applyAlignment="1">
      <alignment horizontal="center"/>
    </xf>
    <xf numFmtId="17" fontId="6" fillId="2" borderId="53" xfId="0" applyNumberFormat="1" applyFont="1" applyFill="1" applyBorder="1" applyAlignment="1">
      <alignment horizontal="center"/>
    </xf>
    <xf numFmtId="17" fontId="6" fillId="2" borderId="23" xfId="0" applyNumberFormat="1" applyFont="1" applyFill="1" applyBorder="1" applyAlignment="1">
      <alignment horizontal="center"/>
    </xf>
    <xf numFmtId="17" fontId="6" fillId="2" borderId="26" xfId="0" applyNumberFormat="1" applyFont="1" applyFill="1" applyBorder="1" applyAlignment="1">
      <alignment horizontal="center"/>
    </xf>
    <xf numFmtId="17" fontId="6" fillId="2" borderId="50" xfId="0" applyNumberFormat="1" applyFont="1" applyFill="1" applyBorder="1" applyAlignment="1">
      <alignment horizontal="center"/>
    </xf>
    <xf numFmtId="17" fontId="6" fillId="2" borderId="0" xfId="0" applyNumberFormat="1" applyFont="1" applyFill="1" applyAlignment="1">
      <alignment horizontal="center"/>
    </xf>
    <xf numFmtId="17" fontId="6" fillId="2" borderId="22" xfId="0" applyNumberFormat="1" applyFont="1" applyFill="1" applyBorder="1" applyAlignment="1">
      <alignment horizontal="center"/>
    </xf>
    <xf numFmtId="17" fontId="6" fillId="2" borderId="28" xfId="0" applyNumberFormat="1" applyFont="1" applyFill="1" applyBorder="1" applyAlignment="1">
      <alignment horizontal="center"/>
    </xf>
    <xf numFmtId="17" fontId="6" fillId="2" borderId="11" xfId="0" applyNumberFormat="1" applyFont="1" applyFill="1" applyBorder="1" applyAlignment="1">
      <alignment horizontal="center"/>
    </xf>
    <xf numFmtId="17" fontId="6" fillId="2" borderId="12" xfId="0" applyNumberFormat="1" applyFont="1" applyFill="1" applyBorder="1" applyAlignment="1">
      <alignment horizontal="center"/>
    </xf>
    <xf numFmtId="17" fontId="6" fillId="2" borderId="21" xfId="0" applyNumberFormat="1" applyFont="1" applyFill="1" applyBorder="1" applyAlignment="1">
      <alignment horizontal="center"/>
    </xf>
    <xf numFmtId="17" fontId="6" fillId="2" borderId="19" xfId="0" applyNumberFormat="1" applyFont="1" applyFill="1" applyBorder="1" applyAlignment="1">
      <alignment horizontal="center"/>
    </xf>
    <xf numFmtId="17" fontId="6" fillId="2" borderId="6" xfId="0" applyNumberFormat="1" applyFont="1" applyFill="1" applyBorder="1" applyAlignment="1">
      <alignment horizontal="center"/>
    </xf>
    <xf numFmtId="17" fontId="6" fillId="2" borderId="7" xfId="0" applyNumberFormat="1" applyFont="1" applyFill="1" applyBorder="1" applyAlignment="1">
      <alignment horizontal="center"/>
    </xf>
    <xf numFmtId="17" fontId="6" fillId="2" borderId="4" xfId="0" applyNumberFormat="1" applyFont="1" applyFill="1" applyBorder="1" applyAlignment="1">
      <alignment horizontal="center"/>
    </xf>
    <xf numFmtId="17" fontId="6" fillId="2" borderId="2" xfId="0" applyNumberFormat="1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0" fontId="7" fillId="0" borderId="23" xfId="0" applyFont="1" applyBorder="1" applyAlignment="1">
      <alignment horizontal="center" vertical="center" textRotation="90"/>
    </xf>
    <xf numFmtId="0" fontId="7" fillId="0" borderId="24" xfId="0" applyFont="1" applyBorder="1" applyAlignment="1">
      <alignment horizontal="center" vertical="center" textRotation="90"/>
    </xf>
    <xf numFmtId="17" fontId="6" fillId="2" borderId="8" xfId="0" applyNumberFormat="1" applyFont="1" applyFill="1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G54"/>
  <sheetViews>
    <sheetView tabSelected="1" zoomScaleNormal="100" workbookViewId="0">
      <pane xSplit="1" topLeftCell="OB1" activePane="topRight" state="frozen"/>
      <selection pane="topRight" activeCell="OI22" sqref="OI22"/>
    </sheetView>
  </sheetViews>
  <sheetFormatPr defaultColWidth="13.44140625" defaultRowHeight="11.4" x14ac:dyDescent="0.2"/>
  <cols>
    <col min="1" max="1" width="47.88671875" style="1" customWidth="1"/>
    <col min="2" max="6" width="10.88671875" style="2" customWidth="1"/>
    <col min="7" max="21" width="12.33203125" style="2" customWidth="1"/>
    <col min="22" max="25" width="12.33203125" style="1" customWidth="1"/>
    <col min="26" max="27" width="10.88671875" style="1" customWidth="1"/>
    <col min="28" max="28" width="12.33203125" style="1" customWidth="1"/>
    <col min="29" max="29" width="10.88671875" style="1" customWidth="1"/>
    <col min="30" max="31" width="12.33203125" style="1" customWidth="1"/>
    <col min="32" max="32" width="10.88671875" style="1" customWidth="1"/>
    <col min="33" max="33" width="12.33203125" style="1" customWidth="1"/>
    <col min="34" max="52" width="10.88671875" style="1" customWidth="1"/>
    <col min="53" max="69" width="12.33203125" style="1" customWidth="1"/>
    <col min="70" max="71" width="10.88671875" style="1" customWidth="1"/>
    <col min="72" max="72" width="12.33203125" style="1" customWidth="1"/>
    <col min="73" max="77" width="10.88671875" style="1" customWidth="1"/>
    <col min="78" max="85" width="12.33203125" style="1" customWidth="1"/>
    <col min="86" max="86" width="10.88671875" style="1" customWidth="1"/>
    <col min="87" max="88" width="12.33203125" style="1" customWidth="1"/>
    <col min="89" max="89" width="10.88671875" style="1" customWidth="1"/>
    <col min="90" max="92" width="12.33203125" style="1" customWidth="1"/>
    <col min="93" max="104" width="10.88671875" style="1" customWidth="1"/>
    <col min="105" max="105" width="12.33203125" style="1" customWidth="1"/>
    <col min="106" max="106" width="10.88671875" style="1" customWidth="1"/>
    <col min="107" max="122" width="12.33203125" style="1" customWidth="1"/>
    <col min="123" max="123" width="10.88671875" style="1" customWidth="1"/>
    <col min="124" max="126" width="12.33203125" style="1" customWidth="1"/>
    <col min="127" max="127" width="13.44140625" style="1" customWidth="1"/>
    <col min="128" max="129" width="12.33203125" style="1" customWidth="1"/>
    <col min="130" max="131" width="13.44140625" style="1" customWidth="1"/>
    <col min="132" max="147" width="12.33203125" style="1" customWidth="1"/>
    <col min="148" max="148" width="13.44140625" style="1" customWidth="1"/>
    <col min="149" max="149" width="12.33203125" style="1" customWidth="1"/>
    <col min="150" max="150" width="13.44140625" style="1" customWidth="1"/>
    <col min="151" max="152" width="12.33203125" style="1" customWidth="1"/>
    <col min="153" max="156" width="13.44140625" style="1" customWidth="1"/>
    <col min="157" max="159" width="12.33203125" style="1" customWidth="1"/>
    <col min="160" max="160" width="13.44140625" style="1" customWidth="1"/>
    <col min="161" max="163" width="12.33203125" style="1" customWidth="1"/>
    <col min="164" max="166" width="13.5546875" style="3" customWidth="1"/>
    <col min="167" max="168" width="13.44140625" style="1" customWidth="1"/>
    <col min="169" max="169" width="13.5546875" style="4" customWidth="1"/>
    <col min="170" max="171" width="13.44140625" style="1" customWidth="1"/>
    <col min="172" max="173" width="12.33203125" style="1" customWidth="1"/>
    <col min="174" max="174" width="13.44140625" style="1" customWidth="1"/>
    <col min="175" max="178" width="12.33203125" style="1" customWidth="1"/>
    <col min="179" max="179" width="14.33203125" style="1" customWidth="1"/>
    <col min="180" max="180" width="13.88671875" style="1" customWidth="1"/>
    <col min="181" max="181" width="13.33203125" style="1" customWidth="1"/>
    <col min="182" max="184" width="14.5546875" style="1" customWidth="1"/>
    <col min="185" max="185" width="17.33203125" style="1" customWidth="1"/>
    <col min="186" max="186" width="14.5546875" style="1" customWidth="1"/>
    <col min="187" max="187" width="15.5546875" style="1" customWidth="1"/>
    <col min="188" max="188" width="13.44140625" style="1" customWidth="1"/>
    <col min="189" max="189" width="12.33203125" style="1" customWidth="1"/>
    <col min="190" max="190" width="12.88671875" style="1" customWidth="1"/>
    <col min="191" max="191" width="14" style="1" customWidth="1"/>
    <col min="192" max="192" width="13.33203125" style="1" customWidth="1"/>
    <col min="193" max="193" width="13.44140625" style="1" customWidth="1"/>
    <col min="194" max="194" width="12.44140625" style="1" customWidth="1"/>
    <col min="195" max="195" width="12.109375" style="1" customWidth="1"/>
    <col min="196" max="196" width="13.33203125" style="1" customWidth="1"/>
    <col min="197" max="197" width="12.33203125" style="1" customWidth="1"/>
    <col min="198" max="198" width="13.5546875" style="1" customWidth="1"/>
    <col min="199" max="199" width="13.44140625" style="1" customWidth="1"/>
    <col min="200" max="201" width="12.33203125" style="1" customWidth="1"/>
    <col min="202" max="205" width="13.44140625" style="1" customWidth="1"/>
    <col min="206" max="206" width="15.44140625" style="1" customWidth="1"/>
    <col min="207" max="207" width="14.6640625" style="1" customWidth="1"/>
    <col min="208" max="208" width="15.109375" style="1" customWidth="1"/>
    <col min="209" max="209" width="15" style="1" customWidth="1"/>
    <col min="210" max="210" width="14.109375" style="1" customWidth="1"/>
    <col min="211" max="211" width="15.44140625" style="1" customWidth="1"/>
    <col min="212" max="212" width="17.44140625" style="1" customWidth="1"/>
    <col min="213" max="213" width="16.33203125" style="1" customWidth="1"/>
    <col min="214" max="216" width="15.5546875" style="1" customWidth="1"/>
    <col min="217" max="219" width="13.44140625" style="1" customWidth="1"/>
    <col min="220" max="220" width="15.109375" style="1" customWidth="1"/>
    <col min="221" max="221" width="14.109375" style="1" customWidth="1"/>
    <col min="222" max="222" width="14.33203125" style="1" customWidth="1"/>
    <col min="223" max="223" width="14.88671875" style="1" customWidth="1"/>
    <col min="224" max="224" width="14.5546875" style="1" customWidth="1"/>
    <col min="225" max="225" width="16.44140625" style="1" customWidth="1"/>
    <col min="226" max="226" width="16.33203125" style="1" customWidth="1"/>
    <col min="227" max="227" width="15.88671875" style="1" customWidth="1"/>
    <col min="228" max="228" width="16.33203125" style="1" customWidth="1"/>
    <col min="229" max="229" width="17" style="1" customWidth="1"/>
    <col min="230" max="230" width="16.33203125" style="1" customWidth="1"/>
    <col min="231" max="231" width="15.109375" style="1" customWidth="1"/>
    <col min="232" max="232" width="14.88671875" style="1" customWidth="1"/>
    <col min="233" max="234" width="13.6640625" style="1" customWidth="1"/>
    <col min="235" max="235" width="14.109375" style="1" customWidth="1"/>
    <col min="236" max="236" width="15.33203125" style="1" customWidth="1"/>
    <col min="237" max="238" width="15.5546875" style="1" customWidth="1"/>
    <col min="239" max="239" width="17.5546875" style="1" customWidth="1"/>
    <col min="240" max="240" width="17.88671875" style="1" customWidth="1"/>
    <col min="241" max="241" width="17.33203125" style="1" customWidth="1"/>
    <col min="242" max="245" width="13.44140625" style="1" customWidth="1"/>
    <col min="246" max="247" width="13.88671875" style="1" customWidth="1"/>
    <col min="248" max="250" width="13.44140625" style="1" customWidth="1"/>
    <col min="251" max="251" width="13" style="1" customWidth="1"/>
    <col min="252" max="252" width="13.33203125" style="1" customWidth="1"/>
    <col min="253" max="253" width="14.88671875" style="1" customWidth="1"/>
    <col min="254" max="257" width="13.44140625" style="1" customWidth="1"/>
    <col min="258" max="260" width="13.44140625" style="1" bestFit="1" customWidth="1"/>
    <col min="261" max="261" width="17" style="1" bestFit="1" customWidth="1"/>
    <col min="262" max="266" width="13.44140625" style="1" bestFit="1" customWidth="1"/>
    <col min="267" max="267" width="13.88671875" style="1" customWidth="1"/>
    <col min="268" max="268" width="13.6640625" style="1" customWidth="1"/>
    <col min="269" max="274" width="13.44140625" style="1" bestFit="1" customWidth="1"/>
    <col min="275" max="275" width="14" style="1" customWidth="1"/>
    <col min="276" max="277" width="13.44140625" style="1" bestFit="1" customWidth="1"/>
    <col min="278" max="278" width="13.88671875" style="1" customWidth="1"/>
    <col min="279" max="279" width="13.5546875" style="1" customWidth="1"/>
    <col min="280" max="280" width="14.5546875" style="1" customWidth="1"/>
    <col min="281" max="281" width="13.33203125" style="1" customWidth="1"/>
    <col min="282" max="282" width="13.6640625" style="1" customWidth="1"/>
    <col min="283" max="283" width="13" style="1" customWidth="1"/>
    <col min="284" max="286" width="13.44140625" style="1" bestFit="1" customWidth="1"/>
    <col min="287" max="288" width="12.33203125" style="1" bestFit="1" customWidth="1"/>
    <col min="289" max="304" width="13.44140625" style="1" bestFit="1" customWidth="1"/>
    <col min="305" max="305" width="14.44140625" style="1" bestFit="1" customWidth="1"/>
    <col min="306" max="307" width="13.44140625" style="1" bestFit="1" customWidth="1"/>
    <col min="308" max="308" width="12.33203125" style="1" bestFit="1" customWidth="1"/>
    <col min="309" max="316" width="13.44140625" style="1" bestFit="1" customWidth="1"/>
    <col min="317" max="319" width="12.33203125" style="1" bestFit="1" customWidth="1"/>
    <col min="320" max="326" width="13.44140625" style="1" bestFit="1" customWidth="1"/>
    <col min="327" max="328" width="12.33203125" style="1" bestFit="1" customWidth="1"/>
    <col min="329" max="329" width="10.88671875" style="1" bestFit="1" customWidth="1"/>
    <col min="330" max="330" width="13" style="1" customWidth="1"/>
    <col min="331" max="331" width="13.109375" style="1" customWidth="1"/>
    <col min="332" max="332" width="15" style="1" customWidth="1"/>
    <col min="333" max="333" width="14.6640625" style="1" customWidth="1"/>
    <col min="334" max="334" width="15.109375" style="1" customWidth="1"/>
    <col min="335" max="337" width="13.44140625" style="1" bestFit="1" customWidth="1"/>
    <col min="338" max="338" width="16.5546875" style="1" bestFit="1" customWidth="1"/>
    <col min="339" max="340" width="15.44140625" style="1" bestFit="1" customWidth="1"/>
    <col min="341" max="344" width="13.44140625" style="1" bestFit="1" customWidth="1"/>
    <col min="345" max="346" width="14.44140625" style="1" bestFit="1" customWidth="1"/>
    <col min="347" max="347" width="13.44140625" style="1" customWidth="1"/>
    <col min="348" max="350" width="14.44140625" style="1" bestFit="1" customWidth="1"/>
    <col min="351" max="352" width="13.44140625" style="1" bestFit="1" customWidth="1"/>
    <col min="353" max="353" width="14.44140625" style="1" bestFit="1" customWidth="1"/>
    <col min="354" max="364" width="13.44140625" style="1" bestFit="1" customWidth="1"/>
    <col min="365" max="365" width="14.44140625" style="1" bestFit="1" customWidth="1"/>
    <col min="366" max="376" width="13.44140625" style="1" bestFit="1" customWidth="1"/>
    <col min="377" max="377" width="14.44140625" style="1" bestFit="1" customWidth="1"/>
    <col min="378" max="383" width="13.44140625" style="1" hidden="1" customWidth="1"/>
    <col min="384" max="384" width="13.44140625" style="1" bestFit="1" customWidth="1"/>
    <col min="385" max="388" width="14.44140625" style="1" bestFit="1" customWidth="1"/>
    <col min="389" max="391" width="12.33203125" style="1" bestFit="1" customWidth="1"/>
    <col min="392" max="397" width="12.88671875" style="1" bestFit="1" customWidth="1"/>
    <col min="398" max="402" width="12.33203125" style="1" bestFit="1" customWidth="1"/>
    <col min="403" max="403" width="13.44140625" style="1" bestFit="1" customWidth="1"/>
    <col min="404" max="404" width="12.33203125" style="1" bestFit="1" customWidth="1"/>
    <col min="405" max="405" width="13.44140625" style="1" bestFit="1" customWidth="1"/>
    <col min="406" max="407" width="12.33203125" style="1" bestFit="1" customWidth="1"/>
    <col min="408" max="411" width="13.44140625" style="1" bestFit="1" customWidth="1"/>
    <col min="412" max="414" width="12.33203125" style="1" bestFit="1" customWidth="1"/>
    <col min="415" max="415" width="13.44140625" style="1" bestFit="1" customWidth="1"/>
    <col min="416" max="418" width="12.33203125" style="1" bestFit="1" customWidth="1"/>
    <col min="419" max="421" width="13.5546875" style="1" bestFit="1" customWidth="1"/>
    <col min="422" max="423" width="13.44140625" style="1" bestFit="1" customWidth="1"/>
    <col min="424" max="424" width="13.5546875" style="1" bestFit="1" customWidth="1"/>
    <col min="425" max="426" width="13.44140625" style="1" bestFit="1" customWidth="1"/>
    <col min="427" max="428" width="12.33203125" style="1" bestFit="1" customWidth="1"/>
    <col min="429" max="429" width="13.44140625" style="1" bestFit="1" customWidth="1"/>
    <col min="430" max="433" width="12.33203125" style="1" bestFit="1" customWidth="1"/>
    <col min="434" max="434" width="14.33203125" style="1" customWidth="1"/>
    <col min="435" max="435" width="13.88671875" style="1" customWidth="1"/>
    <col min="436" max="436" width="13.33203125" style="1" customWidth="1"/>
    <col min="437" max="439" width="14.5546875" style="1" customWidth="1"/>
    <col min="440" max="440" width="17.33203125" style="1" customWidth="1"/>
    <col min="441" max="441" width="14.5546875" style="1" customWidth="1"/>
    <col min="442" max="442" width="15.5546875" style="1" customWidth="1"/>
    <col min="443" max="443" width="13.44140625" style="1" bestFit="1" customWidth="1"/>
    <col min="444" max="444" width="12.33203125" style="1" bestFit="1" customWidth="1"/>
    <col min="445" max="445" width="12.88671875" style="1" customWidth="1"/>
    <col min="446" max="446" width="14" style="1" customWidth="1"/>
    <col min="447" max="447" width="13.33203125" style="1" customWidth="1"/>
    <col min="448" max="448" width="13.44140625" style="1" customWidth="1"/>
    <col min="449" max="449" width="12.44140625" style="1" customWidth="1"/>
    <col min="450" max="450" width="12.109375" style="1" customWidth="1"/>
    <col min="451" max="451" width="13.33203125" style="1" customWidth="1"/>
    <col min="452" max="452" width="12.33203125" style="1" bestFit="1" customWidth="1"/>
    <col min="453" max="453" width="13.5546875" style="1" customWidth="1"/>
    <col min="454" max="454" width="13.44140625" style="1" bestFit="1" customWidth="1"/>
    <col min="455" max="456" width="12.33203125" style="1" bestFit="1" customWidth="1"/>
    <col min="457" max="460" width="13.44140625" style="1" bestFit="1" customWidth="1"/>
    <col min="461" max="461" width="15.44140625" style="1" customWidth="1"/>
    <col min="462" max="462" width="14.6640625" style="1" customWidth="1"/>
    <col min="463" max="463" width="15.109375" style="1" customWidth="1"/>
    <col min="464" max="464" width="15" style="1" customWidth="1"/>
    <col min="465" max="465" width="14.109375" style="1" customWidth="1"/>
    <col min="466" max="466" width="15.44140625" style="1" customWidth="1"/>
    <col min="467" max="467" width="17.44140625" style="1" customWidth="1"/>
    <col min="468" max="468" width="16.33203125" style="1" customWidth="1"/>
    <col min="469" max="471" width="15.5546875" style="1" customWidth="1"/>
    <col min="472" max="474" width="13.44140625" style="1" bestFit="1" customWidth="1"/>
    <col min="475" max="475" width="15.109375" style="1" customWidth="1"/>
    <col min="476" max="476" width="14.109375" style="1" customWidth="1"/>
    <col min="477" max="477" width="14.33203125" style="1" customWidth="1"/>
    <col min="478" max="478" width="14.88671875" style="1" customWidth="1"/>
    <col min="479" max="479" width="14.5546875" style="1" customWidth="1"/>
    <col min="480" max="480" width="16.44140625" style="1" customWidth="1"/>
    <col min="481" max="481" width="16.33203125" style="1" customWidth="1"/>
    <col min="482" max="482" width="15.88671875" style="1" customWidth="1"/>
    <col min="483" max="483" width="16.33203125" style="1" customWidth="1"/>
    <col min="484" max="484" width="17" style="1" customWidth="1"/>
    <col min="485" max="485" width="16.33203125" style="1" customWidth="1"/>
    <col min="486" max="486" width="15.109375" style="1" customWidth="1"/>
    <col min="487" max="487" width="14.88671875" style="1" customWidth="1"/>
    <col min="488" max="489" width="13.6640625" style="1" customWidth="1"/>
    <col min="490" max="490" width="14.109375" style="1" customWidth="1"/>
    <col min="491" max="491" width="15.33203125" style="1" customWidth="1"/>
    <col min="492" max="493" width="15.5546875" style="1" customWidth="1"/>
    <col min="494" max="494" width="17.5546875" style="1" customWidth="1"/>
    <col min="495" max="495" width="17.88671875" style="1" customWidth="1"/>
    <col min="496" max="496" width="17.33203125" style="1" customWidth="1"/>
    <col min="497" max="499" width="13.44140625" style="1" bestFit="1" customWidth="1"/>
    <col min="500" max="500" width="13.44140625" style="1" customWidth="1"/>
    <col min="501" max="502" width="13.88671875" style="1" customWidth="1"/>
    <col min="503" max="505" width="13.44140625" style="1" bestFit="1" customWidth="1"/>
    <col min="506" max="506" width="13" style="1" customWidth="1"/>
    <col min="507" max="507" width="13.33203125" style="1" customWidth="1"/>
    <col min="508" max="508" width="14.88671875" style="1" customWidth="1"/>
    <col min="509" max="511" width="13.44140625" style="1"/>
    <col min="512" max="512" width="55" style="1" bestFit="1" customWidth="1"/>
    <col min="513" max="517" width="10.88671875" style="1" bestFit="1" customWidth="1"/>
    <col min="518" max="536" width="12.33203125" style="1" bestFit="1" customWidth="1"/>
    <col min="537" max="538" width="10.88671875" style="1" bestFit="1" customWidth="1"/>
    <col min="539" max="539" width="12.33203125" style="1" bestFit="1" customWidth="1"/>
    <col min="540" max="540" width="10.88671875" style="1" bestFit="1" customWidth="1"/>
    <col min="541" max="541" width="12.33203125" style="1" customWidth="1"/>
    <col min="542" max="542" width="12.33203125" style="1" bestFit="1" customWidth="1"/>
    <col min="543" max="543" width="10.88671875" style="1" bestFit="1" customWidth="1"/>
    <col min="544" max="544" width="12.33203125" style="1" bestFit="1" customWidth="1"/>
    <col min="545" max="563" width="10.88671875" style="1" bestFit="1" customWidth="1"/>
    <col min="564" max="580" width="12.33203125" style="1" bestFit="1" customWidth="1"/>
    <col min="581" max="582" width="10.88671875" style="1" bestFit="1" customWidth="1"/>
    <col min="583" max="583" width="12.33203125" style="1" bestFit="1" customWidth="1"/>
    <col min="584" max="588" width="10.88671875" style="1" bestFit="1" customWidth="1"/>
    <col min="589" max="596" width="12.33203125" style="1" bestFit="1" customWidth="1"/>
    <col min="597" max="597" width="10.88671875" style="1" bestFit="1" customWidth="1"/>
    <col min="598" max="599" width="12.33203125" style="1" bestFit="1" customWidth="1"/>
    <col min="600" max="600" width="10.88671875" style="1" bestFit="1" customWidth="1"/>
    <col min="601" max="603" width="12.33203125" style="1" bestFit="1" customWidth="1"/>
    <col min="604" max="605" width="10.88671875" style="1" customWidth="1"/>
    <col min="606" max="606" width="10.88671875" style="1" bestFit="1" customWidth="1"/>
    <col min="607" max="607" width="10.88671875" style="1" customWidth="1"/>
    <col min="608" max="615" width="10.88671875" style="1" bestFit="1" customWidth="1"/>
    <col min="616" max="616" width="12.33203125" style="1" bestFit="1" customWidth="1"/>
    <col min="617" max="617" width="10.88671875" style="1" bestFit="1" customWidth="1"/>
    <col min="618" max="633" width="12.33203125" style="1" bestFit="1" customWidth="1"/>
    <col min="634" max="634" width="10.88671875" style="1" bestFit="1" customWidth="1"/>
    <col min="635" max="637" width="12.33203125" style="1" bestFit="1" customWidth="1"/>
    <col min="638" max="638" width="13.44140625" style="1" bestFit="1" customWidth="1"/>
    <col min="639" max="640" width="12.33203125" style="1" bestFit="1" customWidth="1"/>
    <col min="641" max="642" width="13.44140625" style="1" bestFit="1" customWidth="1"/>
    <col min="643" max="658" width="12.33203125" style="1" bestFit="1" customWidth="1"/>
    <col min="659" max="659" width="13.44140625" style="1" bestFit="1" customWidth="1"/>
    <col min="660" max="660" width="12.33203125" style="1" bestFit="1" customWidth="1"/>
    <col min="661" max="661" width="13.44140625" style="1" bestFit="1" customWidth="1"/>
    <col min="662" max="663" width="12.33203125" style="1" bestFit="1" customWidth="1"/>
    <col min="664" max="667" width="13.44140625" style="1" bestFit="1" customWidth="1"/>
    <col min="668" max="670" width="12.33203125" style="1" bestFit="1" customWidth="1"/>
    <col min="671" max="671" width="13.44140625" style="1" bestFit="1" customWidth="1"/>
    <col min="672" max="674" width="12.33203125" style="1" bestFit="1" customWidth="1"/>
    <col min="675" max="677" width="13.5546875" style="1" bestFit="1" customWidth="1"/>
    <col min="678" max="679" width="13.44140625" style="1" bestFit="1" customWidth="1"/>
    <col min="680" max="680" width="13.5546875" style="1" bestFit="1" customWidth="1"/>
    <col min="681" max="682" width="13.44140625" style="1" bestFit="1" customWidth="1"/>
    <col min="683" max="684" width="12.33203125" style="1" bestFit="1" customWidth="1"/>
    <col min="685" max="685" width="13.44140625" style="1" bestFit="1" customWidth="1"/>
    <col min="686" max="689" width="12.33203125" style="1" bestFit="1" customWidth="1"/>
    <col min="690" max="690" width="14.33203125" style="1" customWidth="1"/>
    <col min="691" max="691" width="13.88671875" style="1" customWidth="1"/>
    <col min="692" max="692" width="13.33203125" style="1" customWidth="1"/>
    <col min="693" max="695" width="14.5546875" style="1" customWidth="1"/>
    <col min="696" max="696" width="17.33203125" style="1" customWidth="1"/>
    <col min="697" max="697" width="14.5546875" style="1" customWidth="1"/>
    <col min="698" max="698" width="15.5546875" style="1" customWidth="1"/>
    <col min="699" max="699" width="13.44140625" style="1" bestFit="1" customWidth="1"/>
    <col min="700" max="700" width="12.33203125" style="1" bestFit="1" customWidth="1"/>
    <col min="701" max="701" width="12.88671875" style="1" customWidth="1"/>
    <col min="702" max="702" width="14" style="1" customWidth="1"/>
    <col min="703" max="703" width="13.33203125" style="1" customWidth="1"/>
    <col min="704" max="704" width="13.44140625" style="1" customWidth="1"/>
    <col min="705" max="705" width="12.44140625" style="1" customWidth="1"/>
    <col min="706" max="706" width="12.109375" style="1" customWidth="1"/>
    <col min="707" max="707" width="13.33203125" style="1" customWidth="1"/>
    <col min="708" max="708" width="12.33203125" style="1" bestFit="1" customWidth="1"/>
    <col min="709" max="709" width="13.5546875" style="1" customWidth="1"/>
    <col min="710" max="710" width="13.44140625" style="1" bestFit="1" customWidth="1"/>
    <col min="711" max="712" width="12.33203125" style="1" bestFit="1" customWidth="1"/>
    <col min="713" max="716" width="13.44140625" style="1" bestFit="1" customWidth="1"/>
    <col min="717" max="717" width="15.44140625" style="1" customWidth="1"/>
    <col min="718" max="718" width="14.6640625" style="1" customWidth="1"/>
    <col min="719" max="719" width="15.109375" style="1" customWidth="1"/>
    <col min="720" max="720" width="15" style="1" customWidth="1"/>
    <col min="721" max="721" width="14.109375" style="1" customWidth="1"/>
    <col min="722" max="722" width="15.44140625" style="1" customWidth="1"/>
    <col min="723" max="723" width="17.44140625" style="1" customWidth="1"/>
    <col min="724" max="724" width="16.33203125" style="1" customWidth="1"/>
    <col min="725" max="727" width="15.5546875" style="1" customWidth="1"/>
    <col min="728" max="730" width="13.44140625" style="1" bestFit="1" customWidth="1"/>
    <col min="731" max="731" width="15.109375" style="1" customWidth="1"/>
    <col min="732" max="732" width="14.109375" style="1" customWidth="1"/>
    <col min="733" max="733" width="14.33203125" style="1" customWidth="1"/>
    <col min="734" max="734" width="14.88671875" style="1" customWidth="1"/>
    <col min="735" max="735" width="14.5546875" style="1" customWidth="1"/>
    <col min="736" max="736" width="16.44140625" style="1" customWidth="1"/>
    <col min="737" max="737" width="16.33203125" style="1" customWidth="1"/>
    <col min="738" max="738" width="15.88671875" style="1" customWidth="1"/>
    <col min="739" max="739" width="16.33203125" style="1" customWidth="1"/>
    <col min="740" max="740" width="17" style="1" customWidth="1"/>
    <col min="741" max="741" width="16.33203125" style="1" customWidth="1"/>
    <col min="742" max="742" width="15.109375" style="1" customWidth="1"/>
    <col min="743" max="743" width="14.88671875" style="1" customWidth="1"/>
    <col min="744" max="745" width="13.6640625" style="1" customWidth="1"/>
    <col min="746" max="746" width="14.109375" style="1" customWidth="1"/>
    <col min="747" max="747" width="15.33203125" style="1" customWidth="1"/>
    <col min="748" max="749" width="15.5546875" style="1" customWidth="1"/>
    <col min="750" max="750" width="17.5546875" style="1" customWidth="1"/>
    <col min="751" max="751" width="17.88671875" style="1" customWidth="1"/>
    <col min="752" max="752" width="17.33203125" style="1" customWidth="1"/>
    <col min="753" max="755" width="13.44140625" style="1" bestFit="1" customWidth="1"/>
    <col min="756" max="756" width="13.44140625" style="1" customWidth="1"/>
    <col min="757" max="758" width="13.88671875" style="1" customWidth="1"/>
    <col min="759" max="761" width="13.44140625" style="1" bestFit="1" customWidth="1"/>
    <col min="762" max="762" width="13" style="1" customWidth="1"/>
    <col min="763" max="763" width="13.33203125" style="1" customWidth="1"/>
    <col min="764" max="764" width="14.88671875" style="1" customWidth="1"/>
    <col min="765" max="767" width="13.44140625" style="1"/>
    <col min="768" max="768" width="55" style="1" bestFit="1" customWidth="1"/>
    <col min="769" max="773" width="10.88671875" style="1" bestFit="1" customWidth="1"/>
    <col min="774" max="792" width="12.33203125" style="1" bestFit="1" customWidth="1"/>
    <col min="793" max="794" width="10.88671875" style="1" bestFit="1" customWidth="1"/>
    <col min="795" max="795" width="12.33203125" style="1" bestFit="1" customWidth="1"/>
    <col min="796" max="796" width="10.88671875" style="1" bestFit="1" customWidth="1"/>
    <col min="797" max="797" width="12.33203125" style="1" customWidth="1"/>
    <col min="798" max="798" width="12.33203125" style="1" bestFit="1" customWidth="1"/>
    <col min="799" max="799" width="10.88671875" style="1" bestFit="1" customWidth="1"/>
    <col min="800" max="800" width="12.33203125" style="1" bestFit="1" customWidth="1"/>
    <col min="801" max="819" width="10.88671875" style="1" bestFit="1" customWidth="1"/>
    <col min="820" max="836" width="12.33203125" style="1" bestFit="1" customWidth="1"/>
    <col min="837" max="838" width="10.88671875" style="1" bestFit="1" customWidth="1"/>
    <col min="839" max="839" width="12.33203125" style="1" bestFit="1" customWidth="1"/>
    <col min="840" max="844" width="10.88671875" style="1" bestFit="1" customWidth="1"/>
    <col min="845" max="852" width="12.33203125" style="1" bestFit="1" customWidth="1"/>
    <col min="853" max="853" width="10.88671875" style="1" bestFit="1" customWidth="1"/>
    <col min="854" max="855" width="12.33203125" style="1" bestFit="1" customWidth="1"/>
    <col min="856" max="856" width="10.88671875" style="1" bestFit="1" customWidth="1"/>
    <col min="857" max="859" width="12.33203125" style="1" bestFit="1" customWidth="1"/>
    <col min="860" max="861" width="10.88671875" style="1" customWidth="1"/>
    <col min="862" max="862" width="10.88671875" style="1" bestFit="1" customWidth="1"/>
    <col min="863" max="863" width="10.88671875" style="1" customWidth="1"/>
    <col min="864" max="871" width="10.88671875" style="1" bestFit="1" customWidth="1"/>
    <col min="872" max="872" width="12.33203125" style="1" bestFit="1" customWidth="1"/>
    <col min="873" max="873" width="10.88671875" style="1" bestFit="1" customWidth="1"/>
    <col min="874" max="889" width="12.33203125" style="1" bestFit="1" customWidth="1"/>
    <col min="890" max="890" width="10.88671875" style="1" bestFit="1" customWidth="1"/>
    <col min="891" max="893" width="12.33203125" style="1" bestFit="1" customWidth="1"/>
    <col min="894" max="894" width="13.44140625" style="1" bestFit="1" customWidth="1"/>
    <col min="895" max="896" width="12.33203125" style="1" bestFit="1" customWidth="1"/>
    <col min="897" max="898" width="13.44140625" style="1" bestFit="1" customWidth="1"/>
    <col min="899" max="914" width="12.33203125" style="1" bestFit="1" customWidth="1"/>
    <col min="915" max="915" width="13.44140625" style="1" bestFit="1" customWidth="1"/>
    <col min="916" max="916" width="12.33203125" style="1" bestFit="1" customWidth="1"/>
    <col min="917" max="917" width="13.44140625" style="1" bestFit="1" customWidth="1"/>
    <col min="918" max="919" width="12.33203125" style="1" bestFit="1" customWidth="1"/>
    <col min="920" max="923" width="13.44140625" style="1" bestFit="1" customWidth="1"/>
    <col min="924" max="926" width="12.33203125" style="1" bestFit="1" customWidth="1"/>
    <col min="927" max="927" width="13.44140625" style="1" bestFit="1" customWidth="1"/>
    <col min="928" max="930" width="12.33203125" style="1" bestFit="1" customWidth="1"/>
    <col min="931" max="933" width="13.5546875" style="1" bestFit="1" customWidth="1"/>
    <col min="934" max="935" width="13.44140625" style="1" bestFit="1" customWidth="1"/>
    <col min="936" max="936" width="13.5546875" style="1" bestFit="1" customWidth="1"/>
    <col min="937" max="938" width="13.44140625" style="1" bestFit="1" customWidth="1"/>
    <col min="939" max="940" width="12.33203125" style="1" bestFit="1" customWidth="1"/>
    <col min="941" max="941" width="13.44140625" style="1" bestFit="1" customWidth="1"/>
    <col min="942" max="945" width="12.33203125" style="1" bestFit="1" customWidth="1"/>
    <col min="946" max="946" width="14.33203125" style="1" customWidth="1"/>
    <col min="947" max="947" width="13.88671875" style="1" customWidth="1"/>
    <col min="948" max="948" width="13.33203125" style="1" customWidth="1"/>
    <col min="949" max="951" width="14.5546875" style="1" customWidth="1"/>
    <col min="952" max="952" width="17.33203125" style="1" customWidth="1"/>
    <col min="953" max="953" width="14.5546875" style="1" customWidth="1"/>
    <col min="954" max="954" width="15.5546875" style="1" customWidth="1"/>
    <col min="955" max="955" width="13.44140625" style="1" bestFit="1" customWidth="1"/>
    <col min="956" max="956" width="12.33203125" style="1" bestFit="1" customWidth="1"/>
    <col min="957" max="957" width="12.88671875" style="1" customWidth="1"/>
    <col min="958" max="958" width="14" style="1" customWidth="1"/>
    <col min="959" max="959" width="13.33203125" style="1" customWidth="1"/>
    <col min="960" max="960" width="13.44140625" style="1" customWidth="1"/>
    <col min="961" max="961" width="12.44140625" style="1" customWidth="1"/>
    <col min="962" max="962" width="12.109375" style="1" customWidth="1"/>
    <col min="963" max="963" width="13.33203125" style="1" customWidth="1"/>
    <col min="964" max="964" width="12.33203125" style="1" bestFit="1" customWidth="1"/>
    <col min="965" max="965" width="13.5546875" style="1" customWidth="1"/>
    <col min="966" max="966" width="13.44140625" style="1" bestFit="1" customWidth="1"/>
    <col min="967" max="968" width="12.33203125" style="1" bestFit="1" customWidth="1"/>
    <col min="969" max="972" width="13.44140625" style="1" bestFit="1" customWidth="1"/>
    <col min="973" max="973" width="15.44140625" style="1" customWidth="1"/>
    <col min="974" max="974" width="14.6640625" style="1" customWidth="1"/>
    <col min="975" max="975" width="15.109375" style="1" customWidth="1"/>
    <col min="976" max="976" width="15" style="1" customWidth="1"/>
    <col min="977" max="977" width="14.109375" style="1" customWidth="1"/>
    <col min="978" max="978" width="15.44140625" style="1" customWidth="1"/>
    <col min="979" max="979" width="17.44140625" style="1" customWidth="1"/>
    <col min="980" max="980" width="16.33203125" style="1" customWidth="1"/>
    <col min="981" max="983" width="15.5546875" style="1" customWidth="1"/>
    <col min="984" max="986" width="13.44140625" style="1" bestFit="1" customWidth="1"/>
    <col min="987" max="987" width="15.109375" style="1" customWidth="1"/>
    <col min="988" max="988" width="14.109375" style="1" customWidth="1"/>
    <col min="989" max="989" width="14.33203125" style="1" customWidth="1"/>
    <col min="990" max="990" width="14.88671875" style="1" customWidth="1"/>
    <col min="991" max="991" width="14.5546875" style="1" customWidth="1"/>
    <col min="992" max="992" width="16.44140625" style="1" customWidth="1"/>
    <col min="993" max="993" width="16.33203125" style="1" customWidth="1"/>
    <col min="994" max="994" width="15.88671875" style="1" customWidth="1"/>
    <col min="995" max="995" width="16.33203125" style="1" customWidth="1"/>
    <col min="996" max="996" width="17" style="1" customWidth="1"/>
    <col min="997" max="997" width="16.33203125" style="1" customWidth="1"/>
    <col min="998" max="998" width="15.109375" style="1" customWidth="1"/>
    <col min="999" max="999" width="14.88671875" style="1" customWidth="1"/>
    <col min="1000" max="1001" width="13.6640625" style="1" customWidth="1"/>
    <col min="1002" max="1002" width="14.109375" style="1" customWidth="1"/>
    <col min="1003" max="1003" width="15.33203125" style="1" customWidth="1"/>
    <col min="1004" max="1005" width="15.5546875" style="1" customWidth="1"/>
    <col min="1006" max="1006" width="17.5546875" style="1" customWidth="1"/>
    <col min="1007" max="1007" width="17.88671875" style="1" customWidth="1"/>
    <col min="1008" max="1008" width="17.33203125" style="1" customWidth="1"/>
    <col min="1009" max="1011" width="13.44140625" style="1" bestFit="1" customWidth="1"/>
    <col min="1012" max="1012" width="13.44140625" style="1" customWidth="1"/>
    <col min="1013" max="1014" width="13.88671875" style="1" customWidth="1"/>
    <col min="1015" max="1017" width="13.44140625" style="1" bestFit="1" customWidth="1"/>
    <col min="1018" max="1018" width="13" style="1" customWidth="1"/>
    <col min="1019" max="1019" width="13.33203125" style="1" customWidth="1"/>
    <col min="1020" max="1020" width="14.88671875" style="1" customWidth="1"/>
    <col min="1021" max="1023" width="13.44140625" style="1"/>
    <col min="1024" max="1024" width="55" style="1" bestFit="1" customWidth="1"/>
    <col min="1025" max="1029" width="10.88671875" style="1" bestFit="1" customWidth="1"/>
    <col min="1030" max="1048" width="12.33203125" style="1" bestFit="1" customWidth="1"/>
    <col min="1049" max="1050" width="10.88671875" style="1" bestFit="1" customWidth="1"/>
    <col min="1051" max="1051" width="12.33203125" style="1" bestFit="1" customWidth="1"/>
    <col min="1052" max="1052" width="10.88671875" style="1" bestFit="1" customWidth="1"/>
    <col min="1053" max="1053" width="12.33203125" style="1" customWidth="1"/>
    <col min="1054" max="1054" width="12.33203125" style="1" bestFit="1" customWidth="1"/>
    <col min="1055" max="1055" width="10.88671875" style="1" bestFit="1" customWidth="1"/>
    <col min="1056" max="1056" width="12.33203125" style="1" bestFit="1" customWidth="1"/>
    <col min="1057" max="1075" width="10.88671875" style="1" bestFit="1" customWidth="1"/>
    <col min="1076" max="1092" width="12.33203125" style="1" bestFit="1" customWidth="1"/>
    <col min="1093" max="1094" width="10.88671875" style="1" bestFit="1" customWidth="1"/>
    <col min="1095" max="1095" width="12.33203125" style="1" bestFit="1" customWidth="1"/>
    <col min="1096" max="1100" width="10.88671875" style="1" bestFit="1" customWidth="1"/>
    <col min="1101" max="1108" width="12.33203125" style="1" bestFit="1" customWidth="1"/>
    <col min="1109" max="1109" width="10.88671875" style="1" bestFit="1" customWidth="1"/>
    <col min="1110" max="1111" width="12.33203125" style="1" bestFit="1" customWidth="1"/>
    <col min="1112" max="1112" width="10.88671875" style="1" bestFit="1" customWidth="1"/>
    <col min="1113" max="1115" width="12.33203125" style="1" bestFit="1" customWidth="1"/>
    <col min="1116" max="1117" width="10.88671875" style="1" customWidth="1"/>
    <col min="1118" max="1118" width="10.88671875" style="1" bestFit="1" customWidth="1"/>
    <col min="1119" max="1119" width="10.88671875" style="1" customWidth="1"/>
    <col min="1120" max="1127" width="10.88671875" style="1" bestFit="1" customWidth="1"/>
    <col min="1128" max="1128" width="12.33203125" style="1" bestFit="1" customWidth="1"/>
    <col min="1129" max="1129" width="10.88671875" style="1" bestFit="1" customWidth="1"/>
    <col min="1130" max="1145" width="12.33203125" style="1" bestFit="1" customWidth="1"/>
    <col min="1146" max="1146" width="10.88671875" style="1" bestFit="1" customWidth="1"/>
    <col min="1147" max="1149" width="12.33203125" style="1" bestFit="1" customWidth="1"/>
    <col min="1150" max="1150" width="13.44140625" style="1" bestFit="1" customWidth="1"/>
    <col min="1151" max="1152" width="12.33203125" style="1" bestFit="1" customWidth="1"/>
    <col min="1153" max="1154" width="13.44140625" style="1" bestFit="1" customWidth="1"/>
    <col min="1155" max="1170" width="12.33203125" style="1" bestFit="1" customWidth="1"/>
    <col min="1171" max="1171" width="13.44140625" style="1" bestFit="1" customWidth="1"/>
    <col min="1172" max="1172" width="12.33203125" style="1" bestFit="1" customWidth="1"/>
    <col min="1173" max="1173" width="13.44140625" style="1" bestFit="1" customWidth="1"/>
    <col min="1174" max="1175" width="12.33203125" style="1" bestFit="1" customWidth="1"/>
    <col min="1176" max="1179" width="13.44140625" style="1" bestFit="1" customWidth="1"/>
    <col min="1180" max="1182" width="12.33203125" style="1" bestFit="1" customWidth="1"/>
    <col min="1183" max="1183" width="13.44140625" style="1" bestFit="1" customWidth="1"/>
    <col min="1184" max="1186" width="12.33203125" style="1" bestFit="1" customWidth="1"/>
    <col min="1187" max="1189" width="13.5546875" style="1" bestFit="1" customWidth="1"/>
    <col min="1190" max="1191" width="13.44140625" style="1" bestFit="1" customWidth="1"/>
    <col min="1192" max="1192" width="13.5546875" style="1" bestFit="1" customWidth="1"/>
    <col min="1193" max="1194" width="13.44140625" style="1" bestFit="1" customWidth="1"/>
    <col min="1195" max="1196" width="12.33203125" style="1" bestFit="1" customWidth="1"/>
    <col min="1197" max="1197" width="13.44140625" style="1" bestFit="1" customWidth="1"/>
    <col min="1198" max="1201" width="12.33203125" style="1" bestFit="1" customWidth="1"/>
    <col min="1202" max="1202" width="14.33203125" style="1" customWidth="1"/>
    <col min="1203" max="1203" width="13.88671875" style="1" customWidth="1"/>
    <col min="1204" max="1204" width="13.33203125" style="1" customWidth="1"/>
    <col min="1205" max="1207" width="14.5546875" style="1" customWidth="1"/>
    <col min="1208" max="1208" width="17.33203125" style="1" customWidth="1"/>
    <col min="1209" max="1209" width="14.5546875" style="1" customWidth="1"/>
    <col min="1210" max="1210" width="15.5546875" style="1" customWidth="1"/>
    <col min="1211" max="1211" width="13.44140625" style="1" bestFit="1" customWidth="1"/>
    <col min="1212" max="1212" width="12.33203125" style="1" bestFit="1" customWidth="1"/>
    <col min="1213" max="1213" width="12.88671875" style="1" customWidth="1"/>
    <col min="1214" max="1214" width="14" style="1" customWidth="1"/>
    <col min="1215" max="1215" width="13.33203125" style="1" customWidth="1"/>
    <col min="1216" max="1216" width="13.44140625" style="1" customWidth="1"/>
    <col min="1217" max="1217" width="12.44140625" style="1" customWidth="1"/>
    <col min="1218" max="1218" width="12.109375" style="1" customWidth="1"/>
    <col min="1219" max="1219" width="13.33203125" style="1" customWidth="1"/>
    <col min="1220" max="1220" width="12.33203125" style="1" bestFit="1" customWidth="1"/>
    <col min="1221" max="1221" width="13.5546875" style="1" customWidth="1"/>
    <col min="1222" max="1222" width="13.44140625" style="1" bestFit="1" customWidth="1"/>
    <col min="1223" max="1224" width="12.33203125" style="1" bestFit="1" customWidth="1"/>
    <col min="1225" max="1228" width="13.44140625" style="1" bestFit="1" customWidth="1"/>
    <col min="1229" max="1229" width="15.44140625" style="1" customWidth="1"/>
    <col min="1230" max="1230" width="14.6640625" style="1" customWidth="1"/>
    <col min="1231" max="1231" width="15.109375" style="1" customWidth="1"/>
    <col min="1232" max="1232" width="15" style="1" customWidth="1"/>
    <col min="1233" max="1233" width="14.109375" style="1" customWidth="1"/>
    <col min="1234" max="1234" width="15.44140625" style="1" customWidth="1"/>
    <col min="1235" max="1235" width="17.44140625" style="1" customWidth="1"/>
    <col min="1236" max="1236" width="16.33203125" style="1" customWidth="1"/>
    <col min="1237" max="1239" width="15.5546875" style="1" customWidth="1"/>
    <col min="1240" max="1242" width="13.44140625" style="1" bestFit="1" customWidth="1"/>
    <col min="1243" max="1243" width="15.109375" style="1" customWidth="1"/>
    <col min="1244" max="1244" width="14.109375" style="1" customWidth="1"/>
    <col min="1245" max="1245" width="14.33203125" style="1" customWidth="1"/>
    <col min="1246" max="1246" width="14.88671875" style="1" customWidth="1"/>
    <col min="1247" max="1247" width="14.5546875" style="1" customWidth="1"/>
    <col min="1248" max="1248" width="16.44140625" style="1" customWidth="1"/>
    <col min="1249" max="1249" width="16.33203125" style="1" customWidth="1"/>
    <col min="1250" max="1250" width="15.88671875" style="1" customWidth="1"/>
    <col min="1251" max="1251" width="16.33203125" style="1" customWidth="1"/>
    <col min="1252" max="1252" width="17" style="1" customWidth="1"/>
    <col min="1253" max="1253" width="16.33203125" style="1" customWidth="1"/>
    <col min="1254" max="1254" width="15.109375" style="1" customWidth="1"/>
    <col min="1255" max="1255" width="14.88671875" style="1" customWidth="1"/>
    <col min="1256" max="1257" width="13.6640625" style="1" customWidth="1"/>
    <col min="1258" max="1258" width="14.109375" style="1" customWidth="1"/>
    <col min="1259" max="1259" width="15.33203125" style="1" customWidth="1"/>
    <col min="1260" max="1261" width="15.5546875" style="1" customWidth="1"/>
    <col min="1262" max="1262" width="17.5546875" style="1" customWidth="1"/>
    <col min="1263" max="1263" width="17.88671875" style="1" customWidth="1"/>
    <col min="1264" max="1264" width="17.33203125" style="1" customWidth="1"/>
    <col min="1265" max="1267" width="13.44140625" style="1" bestFit="1" customWidth="1"/>
    <col min="1268" max="1268" width="13.44140625" style="1" customWidth="1"/>
    <col min="1269" max="1270" width="13.88671875" style="1" customWidth="1"/>
    <col min="1271" max="1273" width="13.44140625" style="1" bestFit="1" customWidth="1"/>
    <col min="1274" max="1274" width="13" style="1" customWidth="1"/>
    <col min="1275" max="1275" width="13.33203125" style="1" customWidth="1"/>
    <col min="1276" max="1276" width="14.88671875" style="1" customWidth="1"/>
    <col min="1277" max="1279" width="13.44140625" style="1"/>
    <col min="1280" max="1280" width="55" style="1" bestFit="1" customWidth="1"/>
    <col min="1281" max="1285" width="10.88671875" style="1" bestFit="1" customWidth="1"/>
    <col min="1286" max="1304" width="12.33203125" style="1" bestFit="1" customWidth="1"/>
    <col min="1305" max="1306" width="10.88671875" style="1" bestFit="1" customWidth="1"/>
    <col min="1307" max="1307" width="12.33203125" style="1" bestFit="1" customWidth="1"/>
    <col min="1308" max="1308" width="10.88671875" style="1" bestFit="1" customWidth="1"/>
    <col min="1309" max="1309" width="12.33203125" style="1" customWidth="1"/>
    <col min="1310" max="1310" width="12.33203125" style="1" bestFit="1" customWidth="1"/>
    <col min="1311" max="1311" width="10.88671875" style="1" bestFit="1" customWidth="1"/>
    <col min="1312" max="1312" width="12.33203125" style="1" bestFit="1" customWidth="1"/>
    <col min="1313" max="1331" width="10.88671875" style="1" bestFit="1" customWidth="1"/>
    <col min="1332" max="1348" width="12.33203125" style="1" bestFit="1" customWidth="1"/>
    <col min="1349" max="1350" width="10.88671875" style="1" bestFit="1" customWidth="1"/>
    <col min="1351" max="1351" width="12.33203125" style="1" bestFit="1" customWidth="1"/>
    <col min="1352" max="1356" width="10.88671875" style="1" bestFit="1" customWidth="1"/>
    <col min="1357" max="1364" width="12.33203125" style="1" bestFit="1" customWidth="1"/>
    <col min="1365" max="1365" width="10.88671875" style="1" bestFit="1" customWidth="1"/>
    <col min="1366" max="1367" width="12.33203125" style="1" bestFit="1" customWidth="1"/>
    <col min="1368" max="1368" width="10.88671875" style="1" bestFit="1" customWidth="1"/>
    <col min="1369" max="1371" width="12.33203125" style="1" bestFit="1" customWidth="1"/>
    <col min="1372" max="1373" width="10.88671875" style="1" customWidth="1"/>
    <col min="1374" max="1374" width="10.88671875" style="1" bestFit="1" customWidth="1"/>
    <col min="1375" max="1375" width="10.88671875" style="1" customWidth="1"/>
    <col min="1376" max="1383" width="10.88671875" style="1" bestFit="1" customWidth="1"/>
    <col min="1384" max="1384" width="12.33203125" style="1" bestFit="1" customWidth="1"/>
    <col min="1385" max="1385" width="10.88671875" style="1" bestFit="1" customWidth="1"/>
    <col min="1386" max="1401" width="12.33203125" style="1" bestFit="1" customWidth="1"/>
    <col min="1402" max="1402" width="10.88671875" style="1" bestFit="1" customWidth="1"/>
    <col min="1403" max="1405" width="12.33203125" style="1" bestFit="1" customWidth="1"/>
    <col min="1406" max="1406" width="13.44140625" style="1" bestFit="1" customWidth="1"/>
    <col min="1407" max="1408" width="12.33203125" style="1" bestFit="1" customWidth="1"/>
    <col min="1409" max="1410" width="13.44140625" style="1" bestFit="1" customWidth="1"/>
    <col min="1411" max="1426" width="12.33203125" style="1" bestFit="1" customWidth="1"/>
    <col min="1427" max="1427" width="13.44140625" style="1" bestFit="1" customWidth="1"/>
    <col min="1428" max="1428" width="12.33203125" style="1" bestFit="1" customWidth="1"/>
    <col min="1429" max="1429" width="13.44140625" style="1" bestFit="1" customWidth="1"/>
    <col min="1430" max="1431" width="12.33203125" style="1" bestFit="1" customWidth="1"/>
    <col min="1432" max="1435" width="13.44140625" style="1" bestFit="1" customWidth="1"/>
    <col min="1436" max="1438" width="12.33203125" style="1" bestFit="1" customWidth="1"/>
    <col min="1439" max="1439" width="13.44140625" style="1" bestFit="1" customWidth="1"/>
    <col min="1440" max="1442" width="12.33203125" style="1" bestFit="1" customWidth="1"/>
    <col min="1443" max="1445" width="13.5546875" style="1" bestFit="1" customWidth="1"/>
    <col min="1446" max="1447" width="13.44140625" style="1" bestFit="1" customWidth="1"/>
    <col min="1448" max="1448" width="13.5546875" style="1" bestFit="1" customWidth="1"/>
    <col min="1449" max="1450" width="13.44140625" style="1" bestFit="1" customWidth="1"/>
    <col min="1451" max="1452" width="12.33203125" style="1" bestFit="1" customWidth="1"/>
    <col min="1453" max="1453" width="13.44140625" style="1" bestFit="1" customWidth="1"/>
    <col min="1454" max="1457" width="12.33203125" style="1" bestFit="1" customWidth="1"/>
    <col min="1458" max="1458" width="14.33203125" style="1" customWidth="1"/>
    <col min="1459" max="1459" width="13.88671875" style="1" customWidth="1"/>
    <col min="1460" max="1460" width="13.33203125" style="1" customWidth="1"/>
    <col min="1461" max="1463" width="14.5546875" style="1" customWidth="1"/>
    <col min="1464" max="1464" width="17.33203125" style="1" customWidth="1"/>
    <col min="1465" max="1465" width="14.5546875" style="1" customWidth="1"/>
    <col min="1466" max="1466" width="15.5546875" style="1" customWidth="1"/>
    <col min="1467" max="1467" width="13.44140625" style="1" bestFit="1" customWidth="1"/>
    <col min="1468" max="1468" width="12.33203125" style="1" bestFit="1" customWidth="1"/>
    <col min="1469" max="1469" width="12.88671875" style="1" customWidth="1"/>
    <col min="1470" max="1470" width="14" style="1" customWidth="1"/>
    <col min="1471" max="1471" width="13.33203125" style="1" customWidth="1"/>
    <col min="1472" max="1472" width="13.44140625" style="1" customWidth="1"/>
    <col min="1473" max="1473" width="12.44140625" style="1" customWidth="1"/>
    <col min="1474" max="1474" width="12.109375" style="1" customWidth="1"/>
    <col min="1475" max="1475" width="13.33203125" style="1" customWidth="1"/>
    <col min="1476" max="1476" width="12.33203125" style="1" bestFit="1" customWidth="1"/>
    <col min="1477" max="1477" width="13.5546875" style="1" customWidth="1"/>
    <col min="1478" max="1478" width="13.44140625" style="1" bestFit="1" customWidth="1"/>
    <col min="1479" max="1480" width="12.33203125" style="1" bestFit="1" customWidth="1"/>
    <col min="1481" max="1484" width="13.44140625" style="1" bestFit="1" customWidth="1"/>
    <col min="1485" max="1485" width="15.44140625" style="1" customWidth="1"/>
    <col min="1486" max="1486" width="14.6640625" style="1" customWidth="1"/>
    <col min="1487" max="1487" width="15.109375" style="1" customWidth="1"/>
    <col min="1488" max="1488" width="15" style="1" customWidth="1"/>
    <col min="1489" max="1489" width="14.109375" style="1" customWidth="1"/>
    <col min="1490" max="1490" width="15.44140625" style="1" customWidth="1"/>
    <col min="1491" max="1491" width="17.44140625" style="1" customWidth="1"/>
    <col min="1492" max="1492" width="16.33203125" style="1" customWidth="1"/>
    <col min="1493" max="1495" width="15.5546875" style="1" customWidth="1"/>
    <col min="1496" max="1498" width="13.44140625" style="1" bestFit="1" customWidth="1"/>
    <col min="1499" max="1499" width="15.109375" style="1" customWidth="1"/>
    <col min="1500" max="1500" width="14.109375" style="1" customWidth="1"/>
    <col min="1501" max="1501" width="14.33203125" style="1" customWidth="1"/>
    <col min="1502" max="1502" width="14.88671875" style="1" customWidth="1"/>
    <col min="1503" max="1503" width="14.5546875" style="1" customWidth="1"/>
    <col min="1504" max="1504" width="16.44140625" style="1" customWidth="1"/>
    <col min="1505" max="1505" width="16.33203125" style="1" customWidth="1"/>
    <col min="1506" max="1506" width="15.88671875" style="1" customWidth="1"/>
    <col min="1507" max="1507" width="16.33203125" style="1" customWidth="1"/>
    <col min="1508" max="1508" width="17" style="1" customWidth="1"/>
    <col min="1509" max="1509" width="16.33203125" style="1" customWidth="1"/>
    <col min="1510" max="1510" width="15.109375" style="1" customWidth="1"/>
    <col min="1511" max="1511" width="14.88671875" style="1" customWidth="1"/>
    <col min="1512" max="1513" width="13.6640625" style="1" customWidth="1"/>
    <col min="1514" max="1514" width="14.109375" style="1" customWidth="1"/>
    <col min="1515" max="1515" width="15.33203125" style="1" customWidth="1"/>
    <col min="1516" max="1517" width="15.5546875" style="1" customWidth="1"/>
    <col min="1518" max="1518" width="17.5546875" style="1" customWidth="1"/>
    <col min="1519" max="1519" width="17.88671875" style="1" customWidth="1"/>
    <col min="1520" max="1520" width="17.33203125" style="1" customWidth="1"/>
    <col min="1521" max="1523" width="13.44140625" style="1" bestFit="1" customWidth="1"/>
    <col min="1524" max="1524" width="13.44140625" style="1" customWidth="1"/>
    <col min="1525" max="1526" width="13.88671875" style="1" customWidth="1"/>
    <col min="1527" max="1529" width="13.44140625" style="1" bestFit="1" customWidth="1"/>
    <col min="1530" max="1530" width="13" style="1" customWidth="1"/>
    <col min="1531" max="1531" width="13.33203125" style="1" customWidth="1"/>
    <col min="1532" max="1532" width="14.88671875" style="1" customWidth="1"/>
    <col min="1533" max="1535" width="13.44140625" style="1"/>
    <col min="1536" max="1536" width="55" style="1" bestFit="1" customWidth="1"/>
    <col min="1537" max="1541" width="10.88671875" style="1" bestFit="1" customWidth="1"/>
    <col min="1542" max="1560" width="12.33203125" style="1" bestFit="1" customWidth="1"/>
    <col min="1561" max="1562" width="10.88671875" style="1" bestFit="1" customWidth="1"/>
    <col min="1563" max="1563" width="12.33203125" style="1" bestFit="1" customWidth="1"/>
    <col min="1564" max="1564" width="10.88671875" style="1" bestFit="1" customWidth="1"/>
    <col min="1565" max="1565" width="12.33203125" style="1" customWidth="1"/>
    <col min="1566" max="1566" width="12.33203125" style="1" bestFit="1" customWidth="1"/>
    <col min="1567" max="1567" width="10.88671875" style="1" bestFit="1" customWidth="1"/>
    <col min="1568" max="1568" width="12.33203125" style="1" bestFit="1" customWidth="1"/>
    <col min="1569" max="1587" width="10.88671875" style="1" bestFit="1" customWidth="1"/>
    <col min="1588" max="1604" width="12.33203125" style="1" bestFit="1" customWidth="1"/>
    <col min="1605" max="1606" width="10.88671875" style="1" bestFit="1" customWidth="1"/>
    <col min="1607" max="1607" width="12.33203125" style="1" bestFit="1" customWidth="1"/>
    <col min="1608" max="1612" width="10.88671875" style="1" bestFit="1" customWidth="1"/>
    <col min="1613" max="1620" width="12.33203125" style="1" bestFit="1" customWidth="1"/>
    <col min="1621" max="1621" width="10.88671875" style="1" bestFit="1" customWidth="1"/>
    <col min="1622" max="1623" width="12.33203125" style="1" bestFit="1" customWidth="1"/>
    <col min="1624" max="1624" width="10.88671875" style="1" bestFit="1" customWidth="1"/>
    <col min="1625" max="1627" width="12.33203125" style="1" bestFit="1" customWidth="1"/>
    <col min="1628" max="1629" width="10.88671875" style="1" customWidth="1"/>
    <col min="1630" max="1630" width="10.88671875" style="1" bestFit="1" customWidth="1"/>
    <col min="1631" max="1631" width="10.88671875" style="1" customWidth="1"/>
    <col min="1632" max="1639" width="10.88671875" style="1" bestFit="1" customWidth="1"/>
    <col min="1640" max="1640" width="12.33203125" style="1" bestFit="1" customWidth="1"/>
    <col min="1641" max="1641" width="10.88671875" style="1" bestFit="1" customWidth="1"/>
    <col min="1642" max="1657" width="12.33203125" style="1" bestFit="1" customWidth="1"/>
    <col min="1658" max="1658" width="10.88671875" style="1" bestFit="1" customWidth="1"/>
    <col min="1659" max="1661" width="12.33203125" style="1" bestFit="1" customWidth="1"/>
    <col min="1662" max="1662" width="13.44140625" style="1" bestFit="1" customWidth="1"/>
    <col min="1663" max="1664" width="12.33203125" style="1" bestFit="1" customWidth="1"/>
    <col min="1665" max="1666" width="13.44140625" style="1" bestFit="1" customWidth="1"/>
    <col min="1667" max="1682" width="12.33203125" style="1" bestFit="1" customWidth="1"/>
    <col min="1683" max="1683" width="13.44140625" style="1" bestFit="1" customWidth="1"/>
    <col min="1684" max="1684" width="12.33203125" style="1" bestFit="1" customWidth="1"/>
    <col min="1685" max="1685" width="13.44140625" style="1" bestFit="1" customWidth="1"/>
    <col min="1686" max="1687" width="12.33203125" style="1" bestFit="1" customWidth="1"/>
    <col min="1688" max="1691" width="13.44140625" style="1" bestFit="1" customWidth="1"/>
    <col min="1692" max="1694" width="12.33203125" style="1" bestFit="1" customWidth="1"/>
    <col min="1695" max="1695" width="13.44140625" style="1" bestFit="1" customWidth="1"/>
    <col min="1696" max="1698" width="12.33203125" style="1" bestFit="1" customWidth="1"/>
    <col min="1699" max="1701" width="13.5546875" style="1" bestFit="1" customWidth="1"/>
    <col min="1702" max="1703" width="13.44140625" style="1" bestFit="1" customWidth="1"/>
    <col min="1704" max="1704" width="13.5546875" style="1" bestFit="1" customWidth="1"/>
    <col min="1705" max="1706" width="13.44140625" style="1" bestFit="1" customWidth="1"/>
    <col min="1707" max="1708" width="12.33203125" style="1" bestFit="1" customWidth="1"/>
    <col min="1709" max="1709" width="13.44140625" style="1" bestFit="1" customWidth="1"/>
    <col min="1710" max="1713" width="12.33203125" style="1" bestFit="1" customWidth="1"/>
    <col min="1714" max="1714" width="14.33203125" style="1" customWidth="1"/>
    <col min="1715" max="1715" width="13.88671875" style="1" customWidth="1"/>
    <col min="1716" max="1716" width="13.33203125" style="1" customWidth="1"/>
    <col min="1717" max="1719" width="14.5546875" style="1" customWidth="1"/>
    <col min="1720" max="1720" width="17.33203125" style="1" customWidth="1"/>
    <col min="1721" max="1721" width="14.5546875" style="1" customWidth="1"/>
    <col min="1722" max="1722" width="15.5546875" style="1" customWidth="1"/>
    <col min="1723" max="1723" width="13.44140625" style="1" bestFit="1" customWidth="1"/>
    <col min="1724" max="1724" width="12.33203125" style="1" bestFit="1" customWidth="1"/>
    <col min="1725" max="1725" width="12.88671875" style="1" customWidth="1"/>
    <col min="1726" max="1726" width="14" style="1" customWidth="1"/>
    <col min="1727" max="1727" width="13.33203125" style="1" customWidth="1"/>
    <col min="1728" max="1728" width="13.44140625" style="1" customWidth="1"/>
    <col min="1729" max="1729" width="12.44140625" style="1" customWidth="1"/>
    <col min="1730" max="1730" width="12.109375" style="1" customWidth="1"/>
    <col min="1731" max="1731" width="13.33203125" style="1" customWidth="1"/>
    <col min="1732" max="1732" width="12.33203125" style="1" bestFit="1" customWidth="1"/>
    <col min="1733" max="1733" width="13.5546875" style="1" customWidth="1"/>
    <col min="1734" max="1734" width="13.44140625" style="1" bestFit="1" customWidth="1"/>
    <col min="1735" max="1736" width="12.33203125" style="1" bestFit="1" customWidth="1"/>
    <col min="1737" max="1740" width="13.44140625" style="1" bestFit="1" customWidth="1"/>
    <col min="1741" max="1741" width="15.44140625" style="1" customWidth="1"/>
    <col min="1742" max="1742" width="14.6640625" style="1" customWidth="1"/>
    <col min="1743" max="1743" width="15.109375" style="1" customWidth="1"/>
    <col min="1744" max="1744" width="15" style="1" customWidth="1"/>
    <col min="1745" max="1745" width="14.109375" style="1" customWidth="1"/>
    <col min="1746" max="1746" width="15.44140625" style="1" customWidth="1"/>
    <col min="1747" max="1747" width="17.44140625" style="1" customWidth="1"/>
    <col min="1748" max="1748" width="16.33203125" style="1" customWidth="1"/>
    <col min="1749" max="1751" width="15.5546875" style="1" customWidth="1"/>
    <col min="1752" max="1754" width="13.44140625" style="1" bestFit="1" customWidth="1"/>
    <col min="1755" max="1755" width="15.109375" style="1" customWidth="1"/>
    <col min="1756" max="1756" width="14.109375" style="1" customWidth="1"/>
    <col min="1757" max="1757" width="14.33203125" style="1" customWidth="1"/>
    <col min="1758" max="1758" width="14.88671875" style="1" customWidth="1"/>
    <col min="1759" max="1759" width="14.5546875" style="1" customWidth="1"/>
    <col min="1760" max="1760" width="16.44140625" style="1" customWidth="1"/>
    <col min="1761" max="1761" width="16.33203125" style="1" customWidth="1"/>
    <col min="1762" max="1762" width="15.88671875" style="1" customWidth="1"/>
    <col min="1763" max="1763" width="16.33203125" style="1" customWidth="1"/>
    <col min="1764" max="1764" width="17" style="1" customWidth="1"/>
    <col min="1765" max="1765" width="16.33203125" style="1" customWidth="1"/>
    <col min="1766" max="1766" width="15.109375" style="1" customWidth="1"/>
    <col min="1767" max="1767" width="14.88671875" style="1" customWidth="1"/>
    <col min="1768" max="1769" width="13.6640625" style="1" customWidth="1"/>
    <col min="1770" max="1770" width="14.109375" style="1" customWidth="1"/>
    <col min="1771" max="1771" width="15.33203125" style="1" customWidth="1"/>
    <col min="1772" max="1773" width="15.5546875" style="1" customWidth="1"/>
    <col min="1774" max="1774" width="17.5546875" style="1" customWidth="1"/>
    <col min="1775" max="1775" width="17.88671875" style="1" customWidth="1"/>
    <col min="1776" max="1776" width="17.33203125" style="1" customWidth="1"/>
    <col min="1777" max="1779" width="13.44140625" style="1" bestFit="1" customWidth="1"/>
    <col min="1780" max="1780" width="13.44140625" style="1" customWidth="1"/>
    <col min="1781" max="1782" width="13.88671875" style="1" customWidth="1"/>
    <col min="1783" max="1785" width="13.44140625" style="1" bestFit="1" customWidth="1"/>
    <col min="1786" max="1786" width="13" style="1" customWidth="1"/>
    <col min="1787" max="1787" width="13.33203125" style="1" customWidth="1"/>
    <col min="1788" max="1788" width="14.88671875" style="1" customWidth="1"/>
    <col min="1789" max="1791" width="13.44140625" style="1"/>
    <col min="1792" max="1792" width="55" style="1" bestFit="1" customWidth="1"/>
    <col min="1793" max="1797" width="10.88671875" style="1" bestFit="1" customWidth="1"/>
    <col min="1798" max="1816" width="12.33203125" style="1" bestFit="1" customWidth="1"/>
    <col min="1817" max="1818" width="10.88671875" style="1" bestFit="1" customWidth="1"/>
    <col min="1819" max="1819" width="12.33203125" style="1" bestFit="1" customWidth="1"/>
    <col min="1820" max="1820" width="10.88671875" style="1" bestFit="1" customWidth="1"/>
    <col min="1821" max="1821" width="12.33203125" style="1" customWidth="1"/>
    <col min="1822" max="1822" width="12.33203125" style="1" bestFit="1" customWidth="1"/>
    <col min="1823" max="1823" width="10.88671875" style="1" bestFit="1" customWidth="1"/>
    <col min="1824" max="1824" width="12.33203125" style="1" bestFit="1" customWidth="1"/>
    <col min="1825" max="1843" width="10.88671875" style="1" bestFit="1" customWidth="1"/>
    <col min="1844" max="1860" width="12.33203125" style="1" bestFit="1" customWidth="1"/>
    <col min="1861" max="1862" width="10.88671875" style="1" bestFit="1" customWidth="1"/>
    <col min="1863" max="1863" width="12.33203125" style="1" bestFit="1" customWidth="1"/>
    <col min="1864" max="1868" width="10.88671875" style="1" bestFit="1" customWidth="1"/>
    <col min="1869" max="1876" width="12.33203125" style="1" bestFit="1" customWidth="1"/>
    <col min="1877" max="1877" width="10.88671875" style="1" bestFit="1" customWidth="1"/>
    <col min="1878" max="1879" width="12.33203125" style="1" bestFit="1" customWidth="1"/>
    <col min="1880" max="1880" width="10.88671875" style="1" bestFit="1" customWidth="1"/>
    <col min="1881" max="1883" width="12.33203125" style="1" bestFit="1" customWidth="1"/>
    <col min="1884" max="1885" width="10.88671875" style="1" customWidth="1"/>
    <col min="1886" max="1886" width="10.88671875" style="1" bestFit="1" customWidth="1"/>
    <col min="1887" max="1887" width="10.88671875" style="1" customWidth="1"/>
    <col min="1888" max="1895" width="10.88671875" style="1" bestFit="1" customWidth="1"/>
    <col min="1896" max="1896" width="12.33203125" style="1" bestFit="1" customWidth="1"/>
    <col min="1897" max="1897" width="10.88671875" style="1" bestFit="1" customWidth="1"/>
    <col min="1898" max="1913" width="12.33203125" style="1" bestFit="1" customWidth="1"/>
    <col min="1914" max="1914" width="10.88671875" style="1" bestFit="1" customWidth="1"/>
    <col min="1915" max="1917" width="12.33203125" style="1" bestFit="1" customWidth="1"/>
    <col min="1918" max="1918" width="13.44140625" style="1" bestFit="1" customWidth="1"/>
    <col min="1919" max="1920" width="12.33203125" style="1" bestFit="1" customWidth="1"/>
    <col min="1921" max="1922" width="13.44140625" style="1" bestFit="1" customWidth="1"/>
    <col min="1923" max="1938" width="12.33203125" style="1" bestFit="1" customWidth="1"/>
    <col min="1939" max="1939" width="13.44140625" style="1" bestFit="1" customWidth="1"/>
    <col min="1940" max="1940" width="12.33203125" style="1" bestFit="1" customWidth="1"/>
    <col min="1941" max="1941" width="13.44140625" style="1" bestFit="1" customWidth="1"/>
    <col min="1942" max="1943" width="12.33203125" style="1" bestFit="1" customWidth="1"/>
    <col min="1944" max="1947" width="13.44140625" style="1" bestFit="1" customWidth="1"/>
    <col min="1948" max="1950" width="12.33203125" style="1" bestFit="1" customWidth="1"/>
    <col min="1951" max="1951" width="13.44140625" style="1" bestFit="1" customWidth="1"/>
    <col min="1952" max="1954" width="12.33203125" style="1" bestFit="1" customWidth="1"/>
    <col min="1955" max="1957" width="13.5546875" style="1" bestFit="1" customWidth="1"/>
    <col min="1958" max="1959" width="13.44140625" style="1" bestFit="1" customWidth="1"/>
    <col min="1960" max="1960" width="13.5546875" style="1" bestFit="1" customWidth="1"/>
    <col min="1961" max="1962" width="13.44140625" style="1" bestFit="1" customWidth="1"/>
    <col min="1963" max="1964" width="12.33203125" style="1" bestFit="1" customWidth="1"/>
    <col min="1965" max="1965" width="13.44140625" style="1" bestFit="1" customWidth="1"/>
    <col min="1966" max="1969" width="12.33203125" style="1" bestFit="1" customWidth="1"/>
    <col min="1970" max="1970" width="14.33203125" style="1" customWidth="1"/>
    <col min="1971" max="1971" width="13.88671875" style="1" customWidth="1"/>
    <col min="1972" max="1972" width="13.33203125" style="1" customWidth="1"/>
    <col min="1973" max="1975" width="14.5546875" style="1" customWidth="1"/>
    <col min="1976" max="1976" width="17.33203125" style="1" customWidth="1"/>
    <col min="1977" max="1977" width="14.5546875" style="1" customWidth="1"/>
    <col min="1978" max="1978" width="15.5546875" style="1" customWidth="1"/>
    <col min="1979" max="1979" width="13.44140625" style="1" bestFit="1" customWidth="1"/>
    <col min="1980" max="1980" width="12.33203125" style="1" bestFit="1" customWidth="1"/>
    <col min="1981" max="1981" width="12.88671875" style="1" customWidth="1"/>
    <col min="1982" max="1982" width="14" style="1" customWidth="1"/>
    <col min="1983" max="1983" width="13.33203125" style="1" customWidth="1"/>
    <col min="1984" max="1984" width="13.44140625" style="1" customWidth="1"/>
    <col min="1985" max="1985" width="12.44140625" style="1" customWidth="1"/>
    <col min="1986" max="1986" width="12.109375" style="1" customWidth="1"/>
    <col min="1987" max="1987" width="13.33203125" style="1" customWidth="1"/>
    <col min="1988" max="1988" width="12.33203125" style="1" bestFit="1" customWidth="1"/>
    <col min="1989" max="1989" width="13.5546875" style="1" customWidth="1"/>
    <col min="1990" max="1990" width="13.44140625" style="1" bestFit="1" customWidth="1"/>
    <col min="1991" max="1992" width="12.33203125" style="1" bestFit="1" customWidth="1"/>
    <col min="1993" max="1996" width="13.44140625" style="1" bestFit="1" customWidth="1"/>
    <col min="1997" max="1997" width="15.44140625" style="1" customWidth="1"/>
    <col min="1998" max="1998" width="14.6640625" style="1" customWidth="1"/>
    <col min="1999" max="1999" width="15.109375" style="1" customWidth="1"/>
    <col min="2000" max="2000" width="15" style="1" customWidth="1"/>
    <col min="2001" max="2001" width="14.109375" style="1" customWidth="1"/>
    <col min="2002" max="2002" width="15.44140625" style="1" customWidth="1"/>
    <col min="2003" max="2003" width="17.44140625" style="1" customWidth="1"/>
    <col min="2004" max="2004" width="16.33203125" style="1" customWidth="1"/>
    <col min="2005" max="2007" width="15.5546875" style="1" customWidth="1"/>
    <col min="2008" max="2010" width="13.44140625" style="1" bestFit="1" customWidth="1"/>
    <col min="2011" max="2011" width="15.109375" style="1" customWidth="1"/>
    <col min="2012" max="2012" width="14.109375" style="1" customWidth="1"/>
    <col min="2013" max="2013" width="14.33203125" style="1" customWidth="1"/>
    <col min="2014" max="2014" width="14.88671875" style="1" customWidth="1"/>
    <col min="2015" max="2015" width="14.5546875" style="1" customWidth="1"/>
    <col min="2016" max="2016" width="16.44140625" style="1" customWidth="1"/>
    <col min="2017" max="2017" width="16.33203125" style="1" customWidth="1"/>
    <col min="2018" max="2018" width="15.88671875" style="1" customWidth="1"/>
    <col min="2019" max="2019" width="16.33203125" style="1" customWidth="1"/>
    <col min="2020" max="2020" width="17" style="1" customWidth="1"/>
    <col min="2021" max="2021" width="16.33203125" style="1" customWidth="1"/>
    <col min="2022" max="2022" width="15.109375" style="1" customWidth="1"/>
    <col min="2023" max="2023" width="14.88671875" style="1" customWidth="1"/>
    <col min="2024" max="2025" width="13.6640625" style="1" customWidth="1"/>
    <col min="2026" max="2026" width="14.109375" style="1" customWidth="1"/>
    <col min="2027" max="2027" width="15.33203125" style="1" customWidth="1"/>
    <col min="2028" max="2029" width="15.5546875" style="1" customWidth="1"/>
    <col min="2030" max="2030" width="17.5546875" style="1" customWidth="1"/>
    <col min="2031" max="2031" width="17.88671875" style="1" customWidth="1"/>
    <col min="2032" max="2032" width="17.33203125" style="1" customWidth="1"/>
    <col min="2033" max="2035" width="13.44140625" style="1" bestFit="1" customWidth="1"/>
    <col min="2036" max="2036" width="13.44140625" style="1" customWidth="1"/>
    <col min="2037" max="2038" width="13.88671875" style="1" customWidth="1"/>
    <col min="2039" max="2041" width="13.44140625" style="1" bestFit="1" customWidth="1"/>
    <col min="2042" max="2042" width="13" style="1" customWidth="1"/>
    <col min="2043" max="2043" width="13.33203125" style="1" customWidth="1"/>
    <col min="2044" max="2044" width="14.88671875" style="1" customWidth="1"/>
    <col min="2045" max="2047" width="13.44140625" style="1"/>
    <col min="2048" max="2048" width="55" style="1" bestFit="1" customWidth="1"/>
    <col min="2049" max="2053" width="10.88671875" style="1" bestFit="1" customWidth="1"/>
    <col min="2054" max="2072" width="12.33203125" style="1" bestFit="1" customWidth="1"/>
    <col min="2073" max="2074" width="10.88671875" style="1" bestFit="1" customWidth="1"/>
    <col min="2075" max="2075" width="12.33203125" style="1" bestFit="1" customWidth="1"/>
    <col min="2076" max="2076" width="10.88671875" style="1" bestFit="1" customWidth="1"/>
    <col min="2077" max="2077" width="12.33203125" style="1" customWidth="1"/>
    <col min="2078" max="2078" width="12.33203125" style="1" bestFit="1" customWidth="1"/>
    <col min="2079" max="2079" width="10.88671875" style="1" bestFit="1" customWidth="1"/>
    <col min="2080" max="2080" width="12.33203125" style="1" bestFit="1" customWidth="1"/>
    <col min="2081" max="2099" width="10.88671875" style="1" bestFit="1" customWidth="1"/>
    <col min="2100" max="2116" width="12.33203125" style="1" bestFit="1" customWidth="1"/>
    <col min="2117" max="2118" width="10.88671875" style="1" bestFit="1" customWidth="1"/>
    <col min="2119" max="2119" width="12.33203125" style="1" bestFit="1" customWidth="1"/>
    <col min="2120" max="2124" width="10.88671875" style="1" bestFit="1" customWidth="1"/>
    <col min="2125" max="2132" width="12.33203125" style="1" bestFit="1" customWidth="1"/>
    <col min="2133" max="2133" width="10.88671875" style="1" bestFit="1" customWidth="1"/>
    <col min="2134" max="2135" width="12.33203125" style="1" bestFit="1" customWidth="1"/>
    <col min="2136" max="2136" width="10.88671875" style="1" bestFit="1" customWidth="1"/>
    <col min="2137" max="2139" width="12.33203125" style="1" bestFit="1" customWidth="1"/>
    <col min="2140" max="2141" width="10.88671875" style="1" customWidth="1"/>
    <col min="2142" max="2142" width="10.88671875" style="1" bestFit="1" customWidth="1"/>
    <col min="2143" max="2143" width="10.88671875" style="1" customWidth="1"/>
    <col min="2144" max="2151" width="10.88671875" style="1" bestFit="1" customWidth="1"/>
    <col min="2152" max="2152" width="12.33203125" style="1" bestFit="1" customWidth="1"/>
    <col min="2153" max="2153" width="10.88671875" style="1" bestFit="1" customWidth="1"/>
    <col min="2154" max="2169" width="12.33203125" style="1" bestFit="1" customWidth="1"/>
    <col min="2170" max="2170" width="10.88671875" style="1" bestFit="1" customWidth="1"/>
    <col min="2171" max="2173" width="12.33203125" style="1" bestFit="1" customWidth="1"/>
    <col min="2174" max="2174" width="13.44140625" style="1" bestFit="1" customWidth="1"/>
    <col min="2175" max="2176" width="12.33203125" style="1" bestFit="1" customWidth="1"/>
    <col min="2177" max="2178" width="13.44140625" style="1" bestFit="1" customWidth="1"/>
    <col min="2179" max="2194" width="12.33203125" style="1" bestFit="1" customWidth="1"/>
    <col min="2195" max="2195" width="13.44140625" style="1" bestFit="1" customWidth="1"/>
    <col min="2196" max="2196" width="12.33203125" style="1" bestFit="1" customWidth="1"/>
    <col min="2197" max="2197" width="13.44140625" style="1" bestFit="1" customWidth="1"/>
    <col min="2198" max="2199" width="12.33203125" style="1" bestFit="1" customWidth="1"/>
    <col min="2200" max="2203" width="13.44140625" style="1" bestFit="1" customWidth="1"/>
    <col min="2204" max="2206" width="12.33203125" style="1" bestFit="1" customWidth="1"/>
    <col min="2207" max="2207" width="13.44140625" style="1" bestFit="1" customWidth="1"/>
    <col min="2208" max="2210" width="12.33203125" style="1" bestFit="1" customWidth="1"/>
    <col min="2211" max="2213" width="13.5546875" style="1" bestFit="1" customWidth="1"/>
    <col min="2214" max="2215" width="13.44140625" style="1" bestFit="1" customWidth="1"/>
    <col min="2216" max="2216" width="13.5546875" style="1" bestFit="1" customWidth="1"/>
    <col min="2217" max="2218" width="13.44140625" style="1" bestFit="1" customWidth="1"/>
    <col min="2219" max="2220" width="12.33203125" style="1" bestFit="1" customWidth="1"/>
    <col min="2221" max="2221" width="13.44140625" style="1" bestFit="1" customWidth="1"/>
    <col min="2222" max="2225" width="12.33203125" style="1" bestFit="1" customWidth="1"/>
    <col min="2226" max="2226" width="14.33203125" style="1" customWidth="1"/>
    <col min="2227" max="2227" width="13.88671875" style="1" customWidth="1"/>
    <col min="2228" max="2228" width="13.33203125" style="1" customWidth="1"/>
    <col min="2229" max="2231" width="14.5546875" style="1" customWidth="1"/>
    <col min="2232" max="2232" width="17.33203125" style="1" customWidth="1"/>
    <col min="2233" max="2233" width="14.5546875" style="1" customWidth="1"/>
    <col min="2234" max="2234" width="15.5546875" style="1" customWidth="1"/>
    <col min="2235" max="2235" width="13.44140625" style="1" bestFit="1" customWidth="1"/>
    <col min="2236" max="2236" width="12.33203125" style="1" bestFit="1" customWidth="1"/>
    <col min="2237" max="2237" width="12.88671875" style="1" customWidth="1"/>
    <col min="2238" max="2238" width="14" style="1" customWidth="1"/>
    <col min="2239" max="2239" width="13.33203125" style="1" customWidth="1"/>
    <col min="2240" max="2240" width="13.44140625" style="1" customWidth="1"/>
    <col min="2241" max="2241" width="12.44140625" style="1" customWidth="1"/>
    <col min="2242" max="2242" width="12.109375" style="1" customWidth="1"/>
    <col min="2243" max="2243" width="13.33203125" style="1" customWidth="1"/>
    <col min="2244" max="2244" width="12.33203125" style="1" bestFit="1" customWidth="1"/>
    <col min="2245" max="2245" width="13.5546875" style="1" customWidth="1"/>
    <col min="2246" max="2246" width="13.44140625" style="1" bestFit="1" customWidth="1"/>
    <col min="2247" max="2248" width="12.33203125" style="1" bestFit="1" customWidth="1"/>
    <col min="2249" max="2252" width="13.44140625" style="1" bestFit="1" customWidth="1"/>
    <col min="2253" max="2253" width="15.44140625" style="1" customWidth="1"/>
    <col min="2254" max="2254" width="14.6640625" style="1" customWidth="1"/>
    <col min="2255" max="2255" width="15.109375" style="1" customWidth="1"/>
    <col min="2256" max="2256" width="15" style="1" customWidth="1"/>
    <col min="2257" max="2257" width="14.109375" style="1" customWidth="1"/>
    <col min="2258" max="2258" width="15.44140625" style="1" customWidth="1"/>
    <col min="2259" max="2259" width="17.44140625" style="1" customWidth="1"/>
    <col min="2260" max="2260" width="16.33203125" style="1" customWidth="1"/>
    <col min="2261" max="2263" width="15.5546875" style="1" customWidth="1"/>
    <col min="2264" max="2266" width="13.44140625" style="1" bestFit="1" customWidth="1"/>
    <col min="2267" max="2267" width="15.109375" style="1" customWidth="1"/>
    <col min="2268" max="2268" width="14.109375" style="1" customWidth="1"/>
    <col min="2269" max="2269" width="14.33203125" style="1" customWidth="1"/>
    <col min="2270" max="2270" width="14.88671875" style="1" customWidth="1"/>
    <col min="2271" max="2271" width="14.5546875" style="1" customWidth="1"/>
    <col min="2272" max="2272" width="16.44140625" style="1" customWidth="1"/>
    <col min="2273" max="2273" width="16.33203125" style="1" customWidth="1"/>
    <col min="2274" max="2274" width="15.88671875" style="1" customWidth="1"/>
    <col min="2275" max="2275" width="16.33203125" style="1" customWidth="1"/>
    <col min="2276" max="2276" width="17" style="1" customWidth="1"/>
    <col min="2277" max="2277" width="16.33203125" style="1" customWidth="1"/>
    <col min="2278" max="2278" width="15.109375" style="1" customWidth="1"/>
    <col min="2279" max="2279" width="14.88671875" style="1" customWidth="1"/>
    <col min="2280" max="2281" width="13.6640625" style="1" customWidth="1"/>
    <col min="2282" max="2282" width="14.109375" style="1" customWidth="1"/>
    <col min="2283" max="2283" width="15.33203125" style="1" customWidth="1"/>
    <col min="2284" max="2285" width="15.5546875" style="1" customWidth="1"/>
    <col min="2286" max="2286" width="17.5546875" style="1" customWidth="1"/>
    <col min="2287" max="2287" width="17.88671875" style="1" customWidth="1"/>
    <col min="2288" max="2288" width="17.33203125" style="1" customWidth="1"/>
    <col min="2289" max="2291" width="13.44140625" style="1" bestFit="1" customWidth="1"/>
    <col min="2292" max="2292" width="13.44140625" style="1" customWidth="1"/>
    <col min="2293" max="2294" width="13.88671875" style="1" customWidth="1"/>
    <col min="2295" max="2297" width="13.44140625" style="1" bestFit="1" customWidth="1"/>
    <col min="2298" max="2298" width="13" style="1" customWidth="1"/>
    <col min="2299" max="2299" width="13.33203125" style="1" customWidth="1"/>
    <col min="2300" max="2300" width="14.88671875" style="1" customWidth="1"/>
    <col min="2301" max="2303" width="13.44140625" style="1"/>
    <col min="2304" max="2304" width="55" style="1" bestFit="1" customWidth="1"/>
    <col min="2305" max="2309" width="10.88671875" style="1" bestFit="1" customWidth="1"/>
    <col min="2310" max="2328" width="12.33203125" style="1" bestFit="1" customWidth="1"/>
    <col min="2329" max="2330" width="10.88671875" style="1" bestFit="1" customWidth="1"/>
    <col min="2331" max="2331" width="12.33203125" style="1" bestFit="1" customWidth="1"/>
    <col min="2332" max="2332" width="10.88671875" style="1" bestFit="1" customWidth="1"/>
    <col min="2333" max="2333" width="12.33203125" style="1" customWidth="1"/>
    <col min="2334" max="2334" width="12.33203125" style="1" bestFit="1" customWidth="1"/>
    <col min="2335" max="2335" width="10.88671875" style="1" bestFit="1" customWidth="1"/>
    <col min="2336" max="2336" width="12.33203125" style="1" bestFit="1" customWidth="1"/>
    <col min="2337" max="2355" width="10.88671875" style="1" bestFit="1" customWidth="1"/>
    <col min="2356" max="2372" width="12.33203125" style="1" bestFit="1" customWidth="1"/>
    <col min="2373" max="2374" width="10.88671875" style="1" bestFit="1" customWidth="1"/>
    <col min="2375" max="2375" width="12.33203125" style="1" bestFit="1" customWidth="1"/>
    <col min="2376" max="2380" width="10.88671875" style="1" bestFit="1" customWidth="1"/>
    <col min="2381" max="2388" width="12.33203125" style="1" bestFit="1" customWidth="1"/>
    <col min="2389" max="2389" width="10.88671875" style="1" bestFit="1" customWidth="1"/>
    <col min="2390" max="2391" width="12.33203125" style="1" bestFit="1" customWidth="1"/>
    <col min="2392" max="2392" width="10.88671875" style="1" bestFit="1" customWidth="1"/>
    <col min="2393" max="2395" width="12.33203125" style="1" bestFit="1" customWidth="1"/>
    <col min="2396" max="2397" width="10.88671875" style="1" customWidth="1"/>
    <col min="2398" max="2398" width="10.88671875" style="1" bestFit="1" customWidth="1"/>
    <col min="2399" max="2399" width="10.88671875" style="1" customWidth="1"/>
    <col min="2400" max="2407" width="10.88671875" style="1" bestFit="1" customWidth="1"/>
    <col min="2408" max="2408" width="12.33203125" style="1" bestFit="1" customWidth="1"/>
    <col min="2409" max="2409" width="10.88671875" style="1" bestFit="1" customWidth="1"/>
    <col min="2410" max="2425" width="12.33203125" style="1" bestFit="1" customWidth="1"/>
    <col min="2426" max="2426" width="10.88671875" style="1" bestFit="1" customWidth="1"/>
    <col min="2427" max="2429" width="12.33203125" style="1" bestFit="1" customWidth="1"/>
    <col min="2430" max="2430" width="13.44140625" style="1" bestFit="1" customWidth="1"/>
    <col min="2431" max="2432" width="12.33203125" style="1" bestFit="1" customWidth="1"/>
    <col min="2433" max="2434" width="13.44140625" style="1" bestFit="1" customWidth="1"/>
    <col min="2435" max="2450" width="12.33203125" style="1" bestFit="1" customWidth="1"/>
    <col min="2451" max="2451" width="13.44140625" style="1" bestFit="1" customWidth="1"/>
    <col min="2452" max="2452" width="12.33203125" style="1" bestFit="1" customWidth="1"/>
    <col min="2453" max="2453" width="13.44140625" style="1" bestFit="1" customWidth="1"/>
    <col min="2454" max="2455" width="12.33203125" style="1" bestFit="1" customWidth="1"/>
    <col min="2456" max="2459" width="13.44140625" style="1" bestFit="1" customWidth="1"/>
    <col min="2460" max="2462" width="12.33203125" style="1" bestFit="1" customWidth="1"/>
    <col min="2463" max="2463" width="13.44140625" style="1" bestFit="1" customWidth="1"/>
    <col min="2464" max="2466" width="12.33203125" style="1" bestFit="1" customWidth="1"/>
    <col min="2467" max="2469" width="13.5546875" style="1" bestFit="1" customWidth="1"/>
    <col min="2470" max="2471" width="13.44140625" style="1" bestFit="1" customWidth="1"/>
    <col min="2472" max="2472" width="13.5546875" style="1" bestFit="1" customWidth="1"/>
    <col min="2473" max="2474" width="13.44140625" style="1" bestFit="1" customWidth="1"/>
    <col min="2475" max="2476" width="12.33203125" style="1" bestFit="1" customWidth="1"/>
    <col min="2477" max="2477" width="13.44140625" style="1" bestFit="1" customWidth="1"/>
    <col min="2478" max="2481" width="12.33203125" style="1" bestFit="1" customWidth="1"/>
    <col min="2482" max="2482" width="14.33203125" style="1" customWidth="1"/>
    <col min="2483" max="2483" width="13.88671875" style="1" customWidth="1"/>
    <col min="2484" max="2484" width="13.33203125" style="1" customWidth="1"/>
    <col min="2485" max="2487" width="14.5546875" style="1" customWidth="1"/>
    <col min="2488" max="2488" width="17.33203125" style="1" customWidth="1"/>
    <col min="2489" max="2489" width="14.5546875" style="1" customWidth="1"/>
    <col min="2490" max="2490" width="15.5546875" style="1" customWidth="1"/>
    <col min="2491" max="2491" width="13.44140625" style="1" bestFit="1" customWidth="1"/>
    <col min="2492" max="2492" width="12.33203125" style="1" bestFit="1" customWidth="1"/>
    <col min="2493" max="2493" width="12.88671875" style="1" customWidth="1"/>
    <col min="2494" max="2494" width="14" style="1" customWidth="1"/>
    <col min="2495" max="2495" width="13.33203125" style="1" customWidth="1"/>
    <col min="2496" max="2496" width="13.44140625" style="1" customWidth="1"/>
    <col min="2497" max="2497" width="12.44140625" style="1" customWidth="1"/>
    <col min="2498" max="2498" width="12.109375" style="1" customWidth="1"/>
    <col min="2499" max="2499" width="13.33203125" style="1" customWidth="1"/>
    <col min="2500" max="2500" width="12.33203125" style="1" bestFit="1" customWidth="1"/>
    <col min="2501" max="2501" width="13.5546875" style="1" customWidth="1"/>
    <col min="2502" max="2502" width="13.44140625" style="1" bestFit="1" customWidth="1"/>
    <col min="2503" max="2504" width="12.33203125" style="1" bestFit="1" customWidth="1"/>
    <col min="2505" max="2508" width="13.44140625" style="1" bestFit="1" customWidth="1"/>
    <col min="2509" max="2509" width="15.44140625" style="1" customWidth="1"/>
    <col min="2510" max="2510" width="14.6640625" style="1" customWidth="1"/>
    <col min="2511" max="2511" width="15.109375" style="1" customWidth="1"/>
    <col min="2512" max="2512" width="15" style="1" customWidth="1"/>
    <col min="2513" max="2513" width="14.109375" style="1" customWidth="1"/>
    <col min="2514" max="2514" width="15.44140625" style="1" customWidth="1"/>
    <col min="2515" max="2515" width="17.44140625" style="1" customWidth="1"/>
    <col min="2516" max="2516" width="16.33203125" style="1" customWidth="1"/>
    <col min="2517" max="2519" width="15.5546875" style="1" customWidth="1"/>
    <col min="2520" max="2522" width="13.44140625" style="1" bestFit="1" customWidth="1"/>
    <col min="2523" max="2523" width="15.109375" style="1" customWidth="1"/>
    <col min="2524" max="2524" width="14.109375" style="1" customWidth="1"/>
    <col min="2525" max="2525" width="14.33203125" style="1" customWidth="1"/>
    <col min="2526" max="2526" width="14.88671875" style="1" customWidth="1"/>
    <col min="2527" max="2527" width="14.5546875" style="1" customWidth="1"/>
    <col min="2528" max="2528" width="16.44140625" style="1" customWidth="1"/>
    <col min="2529" max="2529" width="16.33203125" style="1" customWidth="1"/>
    <col min="2530" max="2530" width="15.88671875" style="1" customWidth="1"/>
    <col min="2531" max="2531" width="16.33203125" style="1" customWidth="1"/>
    <col min="2532" max="2532" width="17" style="1" customWidth="1"/>
    <col min="2533" max="2533" width="16.33203125" style="1" customWidth="1"/>
    <col min="2534" max="2534" width="15.109375" style="1" customWidth="1"/>
    <col min="2535" max="2535" width="14.88671875" style="1" customWidth="1"/>
    <col min="2536" max="2537" width="13.6640625" style="1" customWidth="1"/>
    <col min="2538" max="2538" width="14.109375" style="1" customWidth="1"/>
    <col min="2539" max="2539" width="15.33203125" style="1" customWidth="1"/>
    <col min="2540" max="2541" width="15.5546875" style="1" customWidth="1"/>
    <col min="2542" max="2542" width="17.5546875" style="1" customWidth="1"/>
    <col min="2543" max="2543" width="17.88671875" style="1" customWidth="1"/>
    <col min="2544" max="2544" width="17.33203125" style="1" customWidth="1"/>
    <col min="2545" max="2547" width="13.44140625" style="1" bestFit="1" customWidth="1"/>
    <col min="2548" max="2548" width="13.44140625" style="1" customWidth="1"/>
    <col min="2549" max="2550" width="13.88671875" style="1" customWidth="1"/>
    <col min="2551" max="2553" width="13.44140625" style="1" bestFit="1" customWidth="1"/>
    <col min="2554" max="2554" width="13" style="1" customWidth="1"/>
    <col min="2555" max="2555" width="13.33203125" style="1" customWidth="1"/>
    <col min="2556" max="2556" width="14.88671875" style="1" customWidth="1"/>
    <col min="2557" max="2559" width="13.44140625" style="1"/>
    <col min="2560" max="2560" width="55" style="1" bestFit="1" customWidth="1"/>
    <col min="2561" max="2565" width="10.88671875" style="1" bestFit="1" customWidth="1"/>
    <col min="2566" max="2584" width="12.33203125" style="1" bestFit="1" customWidth="1"/>
    <col min="2585" max="2586" width="10.88671875" style="1" bestFit="1" customWidth="1"/>
    <col min="2587" max="2587" width="12.33203125" style="1" bestFit="1" customWidth="1"/>
    <col min="2588" max="2588" width="10.88671875" style="1" bestFit="1" customWidth="1"/>
    <col min="2589" max="2589" width="12.33203125" style="1" customWidth="1"/>
    <col min="2590" max="2590" width="12.33203125" style="1" bestFit="1" customWidth="1"/>
    <col min="2591" max="2591" width="10.88671875" style="1" bestFit="1" customWidth="1"/>
    <col min="2592" max="2592" width="12.33203125" style="1" bestFit="1" customWidth="1"/>
    <col min="2593" max="2611" width="10.88671875" style="1" bestFit="1" customWidth="1"/>
    <col min="2612" max="2628" width="12.33203125" style="1" bestFit="1" customWidth="1"/>
    <col min="2629" max="2630" width="10.88671875" style="1" bestFit="1" customWidth="1"/>
    <col min="2631" max="2631" width="12.33203125" style="1" bestFit="1" customWidth="1"/>
    <col min="2632" max="2636" width="10.88671875" style="1" bestFit="1" customWidth="1"/>
    <col min="2637" max="2644" width="12.33203125" style="1" bestFit="1" customWidth="1"/>
    <col min="2645" max="2645" width="10.88671875" style="1" bestFit="1" customWidth="1"/>
    <col min="2646" max="2647" width="12.33203125" style="1" bestFit="1" customWidth="1"/>
    <col min="2648" max="2648" width="10.88671875" style="1" bestFit="1" customWidth="1"/>
    <col min="2649" max="2651" width="12.33203125" style="1" bestFit="1" customWidth="1"/>
    <col min="2652" max="2653" width="10.88671875" style="1" customWidth="1"/>
    <col min="2654" max="2654" width="10.88671875" style="1" bestFit="1" customWidth="1"/>
    <col min="2655" max="2655" width="10.88671875" style="1" customWidth="1"/>
    <col min="2656" max="2663" width="10.88671875" style="1" bestFit="1" customWidth="1"/>
    <col min="2664" max="2664" width="12.33203125" style="1" bestFit="1" customWidth="1"/>
    <col min="2665" max="2665" width="10.88671875" style="1" bestFit="1" customWidth="1"/>
    <col min="2666" max="2681" width="12.33203125" style="1" bestFit="1" customWidth="1"/>
    <col min="2682" max="2682" width="10.88671875" style="1" bestFit="1" customWidth="1"/>
    <col min="2683" max="2685" width="12.33203125" style="1" bestFit="1" customWidth="1"/>
    <col min="2686" max="2686" width="13.44140625" style="1" bestFit="1" customWidth="1"/>
    <col min="2687" max="2688" width="12.33203125" style="1" bestFit="1" customWidth="1"/>
    <col min="2689" max="2690" width="13.44140625" style="1" bestFit="1" customWidth="1"/>
    <col min="2691" max="2706" width="12.33203125" style="1" bestFit="1" customWidth="1"/>
    <col min="2707" max="2707" width="13.44140625" style="1" bestFit="1" customWidth="1"/>
    <col min="2708" max="2708" width="12.33203125" style="1" bestFit="1" customWidth="1"/>
    <col min="2709" max="2709" width="13.44140625" style="1" bestFit="1" customWidth="1"/>
    <col min="2710" max="2711" width="12.33203125" style="1" bestFit="1" customWidth="1"/>
    <col min="2712" max="2715" width="13.44140625" style="1" bestFit="1" customWidth="1"/>
    <col min="2716" max="2718" width="12.33203125" style="1" bestFit="1" customWidth="1"/>
    <col min="2719" max="2719" width="13.44140625" style="1" bestFit="1" customWidth="1"/>
    <col min="2720" max="2722" width="12.33203125" style="1" bestFit="1" customWidth="1"/>
    <col min="2723" max="2725" width="13.5546875" style="1" bestFit="1" customWidth="1"/>
    <col min="2726" max="2727" width="13.44140625" style="1" bestFit="1" customWidth="1"/>
    <col min="2728" max="2728" width="13.5546875" style="1" bestFit="1" customWidth="1"/>
    <col min="2729" max="2730" width="13.44140625" style="1" bestFit="1" customWidth="1"/>
    <col min="2731" max="2732" width="12.33203125" style="1" bestFit="1" customWidth="1"/>
    <col min="2733" max="2733" width="13.44140625" style="1" bestFit="1" customWidth="1"/>
    <col min="2734" max="2737" width="12.33203125" style="1" bestFit="1" customWidth="1"/>
    <col min="2738" max="2738" width="14.33203125" style="1" customWidth="1"/>
    <col min="2739" max="2739" width="13.88671875" style="1" customWidth="1"/>
    <col min="2740" max="2740" width="13.33203125" style="1" customWidth="1"/>
    <col min="2741" max="2743" width="14.5546875" style="1" customWidth="1"/>
    <col min="2744" max="2744" width="17.33203125" style="1" customWidth="1"/>
    <col min="2745" max="2745" width="14.5546875" style="1" customWidth="1"/>
    <col min="2746" max="2746" width="15.5546875" style="1" customWidth="1"/>
    <col min="2747" max="2747" width="13.44140625" style="1" bestFit="1" customWidth="1"/>
    <col min="2748" max="2748" width="12.33203125" style="1" bestFit="1" customWidth="1"/>
    <col min="2749" max="2749" width="12.88671875" style="1" customWidth="1"/>
    <col min="2750" max="2750" width="14" style="1" customWidth="1"/>
    <col min="2751" max="2751" width="13.33203125" style="1" customWidth="1"/>
    <col min="2752" max="2752" width="13.44140625" style="1" customWidth="1"/>
    <col min="2753" max="2753" width="12.44140625" style="1" customWidth="1"/>
    <col min="2754" max="2754" width="12.109375" style="1" customWidth="1"/>
    <col min="2755" max="2755" width="13.33203125" style="1" customWidth="1"/>
    <col min="2756" max="2756" width="12.33203125" style="1" bestFit="1" customWidth="1"/>
    <col min="2757" max="2757" width="13.5546875" style="1" customWidth="1"/>
    <col min="2758" max="2758" width="13.44140625" style="1" bestFit="1" customWidth="1"/>
    <col min="2759" max="2760" width="12.33203125" style="1" bestFit="1" customWidth="1"/>
    <col min="2761" max="2764" width="13.44140625" style="1" bestFit="1" customWidth="1"/>
    <col min="2765" max="2765" width="15.44140625" style="1" customWidth="1"/>
    <col min="2766" max="2766" width="14.6640625" style="1" customWidth="1"/>
    <col min="2767" max="2767" width="15.109375" style="1" customWidth="1"/>
    <col min="2768" max="2768" width="15" style="1" customWidth="1"/>
    <col min="2769" max="2769" width="14.109375" style="1" customWidth="1"/>
    <col min="2770" max="2770" width="15.44140625" style="1" customWidth="1"/>
    <col min="2771" max="2771" width="17.44140625" style="1" customWidth="1"/>
    <col min="2772" max="2772" width="16.33203125" style="1" customWidth="1"/>
    <col min="2773" max="2775" width="15.5546875" style="1" customWidth="1"/>
    <col min="2776" max="2778" width="13.44140625" style="1" bestFit="1" customWidth="1"/>
    <col min="2779" max="2779" width="15.109375" style="1" customWidth="1"/>
    <col min="2780" max="2780" width="14.109375" style="1" customWidth="1"/>
    <col min="2781" max="2781" width="14.33203125" style="1" customWidth="1"/>
    <col min="2782" max="2782" width="14.88671875" style="1" customWidth="1"/>
    <col min="2783" max="2783" width="14.5546875" style="1" customWidth="1"/>
    <col min="2784" max="2784" width="16.44140625" style="1" customWidth="1"/>
    <col min="2785" max="2785" width="16.33203125" style="1" customWidth="1"/>
    <col min="2786" max="2786" width="15.88671875" style="1" customWidth="1"/>
    <col min="2787" max="2787" width="16.33203125" style="1" customWidth="1"/>
    <col min="2788" max="2788" width="17" style="1" customWidth="1"/>
    <col min="2789" max="2789" width="16.33203125" style="1" customWidth="1"/>
    <col min="2790" max="2790" width="15.109375" style="1" customWidth="1"/>
    <col min="2791" max="2791" width="14.88671875" style="1" customWidth="1"/>
    <col min="2792" max="2793" width="13.6640625" style="1" customWidth="1"/>
    <col min="2794" max="2794" width="14.109375" style="1" customWidth="1"/>
    <col min="2795" max="2795" width="15.33203125" style="1" customWidth="1"/>
    <col min="2796" max="2797" width="15.5546875" style="1" customWidth="1"/>
    <col min="2798" max="2798" width="17.5546875" style="1" customWidth="1"/>
    <col min="2799" max="2799" width="17.88671875" style="1" customWidth="1"/>
    <col min="2800" max="2800" width="17.33203125" style="1" customWidth="1"/>
    <col min="2801" max="2803" width="13.44140625" style="1" bestFit="1" customWidth="1"/>
    <col min="2804" max="2804" width="13.44140625" style="1" customWidth="1"/>
    <col min="2805" max="2806" width="13.88671875" style="1" customWidth="1"/>
    <col min="2807" max="2809" width="13.44140625" style="1" bestFit="1" customWidth="1"/>
    <col min="2810" max="2810" width="13" style="1" customWidth="1"/>
    <col min="2811" max="2811" width="13.33203125" style="1" customWidth="1"/>
    <col min="2812" max="2812" width="14.88671875" style="1" customWidth="1"/>
    <col min="2813" max="2815" width="13.44140625" style="1"/>
    <col min="2816" max="2816" width="55" style="1" bestFit="1" customWidth="1"/>
    <col min="2817" max="2821" width="10.88671875" style="1" bestFit="1" customWidth="1"/>
    <col min="2822" max="2840" width="12.33203125" style="1" bestFit="1" customWidth="1"/>
    <col min="2841" max="2842" width="10.88671875" style="1" bestFit="1" customWidth="1"/>
    <col min="2843" max="2843" width="12.33203125" style="1" bestFit="1" customWidth="1"/>
    <col min="2844" max="2844" width="10.88671875" style="1" bestFit="1" customWidth="1"/>
    <col min="2845" max="2845" width="12.33203125" style="1" customWidth="1"/>
    <col min="2846" max="2846" width="12.33203125" style="1" bestFit="1" customWidth="1"/>
    <col min="2847" max="2847" width="10.88671875" style="1" bestFit="1" customWidth="1"/>
    <col min="2848" max="2848" width="12.33203125" style="1" bestFit="1" customWidth="1"/>
    <col min="2849" max="2867" width="10.88671875" style="1" bestFit="1" customWidth="1"/>
    <col min="2868" max="2884" width="12.33203125" style="1" bestFit="1" customWidth="1"/>
    <col min="2885" max="2886" width="10.88671875" style="1" bestFit="1" customWidth="1"/>
    <col min="2887" max="2887" width="12.33203125" style="1" bestFit="1" customWidth="1"/>
    <col min="2888" max="2892" width="10.88671875" style="1" bestFit="1" customWidth="1"/>
    <col min="2893" max="2900" width="12.33203125" style="1" bestFit="1" customWidth="1"/>
    <col min="2901" max="2901" width="10.88671875" style="1" bestFit="1" customWidth="1"/>
    <col min="2902" max="2903" width="12.33203125" style="1" bestFit="1" customWidth="1"/>
    <col min="2904" max="2904" width="10.88671875" style="1" bestFit="1" customWidth="1"/>
    <col min="2905" max="2907" width="12.33203125" style="1" bestFit="1" customWidth="1"/>
    <col min="2908" max="2909" width="10.88671875" style="1" customWidth="1"/>
    <col min="2910" max="2910" width="10.88671875" style="1" bestFit="1" customWidth="1"/>
    <col min="2911" max="2911" width="10.88671875" style="1" customWidth="1"/>
    <col min="2912" max="2919" width="10.88671875" style="1" bestFit="1" customWidth="1"/>
    <col min="2920" max="2920" width="12.33203125" style="1" bestFit="1" customWidth="1"/>
    <col min="2921" max="2921" width="10.88671875" style="1" bestFit="1" customWidth="1"/>
    <col min="2922" max="2937" width="12.33203125" style="1" bestFit="1" customWidth="1"/>
    <col min="2938" max="2938" width="10.88671875" style="1" bestFit="1" customWidth="1"/>
    <col min="2939" max="2941" width="12.33203125" style="1" bestFit="1" customWidth="1"/>
    <col min="2942" max="2942" width="13.44140625" style="1" bestFit="1" customWidth="1"/>
    <col min="2943" max="2944" width="12.33203125" style="1" bestFit="1" customWidth="1"/>
    <col min="2945" max="2946" width="13.44140625" style="1" bestFit="1" customWidth="1"/>
    <col min="2947" max="2962" width="12.33203125" style="1" bestFit="1" customWidth="1"/>
    <col min="2963" max="2963" width="13.44140625" style="1" bestFit="1" customWidth="1"/>
    <col min="2964" max="2964" width="12.33203125" style="1" bestFit="1" customWidth="1"/>
    <col min="2965" max="2965" width="13.44140625" style="1" bestFit="1" customWidth="1"/>
    <col min="2966" max="2967" width="12.33203125" style="1" bestFit="1" customWidth="1"/>
    <col min="2968" max="2971" width="13.44140625" style="1" bestFit="1" customWidth="1"/>
    <col min="2972" max="2974" width="12.33203125" style="1" bestFit="1" customWidth="1"/>
    <col min="2975" max="2975" width="13.44140625" style="1" bestFit="1" customWidth="1"/>
    <col min="2976" max="2978" width="12.33203125" style="1" bestFit="1" customWidth="1"/>
    <col min="2979" max="2981" width="13.5546875" style="1" bestFit="1" customWidth="1"/>
    <col min="2982" max="2983" width="13.44140625" style="1" bestFit="1" customWidth="1"/>
    <col min="2984" max="2984" width="13.5546875" style="1" bestFit="1" customWidth="1"/>
    <col min="2985" max="2986" width="13.44140625" style="1" bestFit="1" customWidth="1"/>
    <col min="2987" max="2988" width="12.33203125" style="1" bestFit="1" customWidth="1"/>
    <col min="2989" max="2989" width="13.44140625" style="1" bestFit="1" customWidth="1"/>
    <col min="2990" max="2993" width="12.33203125" style="1" bestFit="1" customWidth="1"/>
    <col min="2994" max="2994" width="14.33203125" style="1" customWidth="1"/>
    <col min="2995" max="2995" width="13.88671875" style="1" customWidth="1"/>
    <col min="2996" max="2996" width="13.33203125" style="1" customWidth="1"/>
    <col min="2997" max="2999" width="14.5546875" style="1" customWidth="1"/>
    <col min="3000" max="3000" width="17.33203125" style="1" customWidth="1"/>
    <col min="3001" max="3001" width="14.5546875" style="1" customWidth="1"/>
    <col min="3002" max="3002" width="15.5546875" style="1" customWidth="1"/>
    <col min="3003" max="3003" width="13.44140625" style="1" bestFit="1" customWidth="1"/>
    <col min="3004" max="3004" width="12.33203125" style="1" bestFit="1" customWidth="1"/>
    <col min="3005" max="3005" width="12.88671875" style="1" customWidth="1"/>
    <col min="3006" max="3006" width="14" style="1" customWidth="1"/>
    <col min="3007" max="3007" width="13.33203125" style="1" customWidth="1"/>
    <col min="3008" max="3008" width="13.44140625" style="1" customWidth="1"/>
    <col min="3009" max="3009" width="12.44140625" style="1" customWidth="1"/>
    <col min="3010" max="3010" width="12.109375" style="1" customWidth="1"/>
    <col min="3011" max="3011" width="13.33203125" style="1" customWidth="1"/>
    <col min="3012" max="3012" width="12.33203125" style="1" bestFit="1" customWidth="1"/>
    <col min="3013" max="3013" width="13.5546875" style="1" customWidth="1"/>
    <col min="3014" max="3014" width="13.44140625" style="1" bestFit="1" customWidth="1"/>
    <col min="3015" max="3016" width="12.33203125" style="1" bestFit="1" customWidth="1"/>
    <col min="3017" max="3020" width="13.44140625" style="1" bestFit="1" customWidth="1"/>
    <col min="3021" max="3021" width="15.44140625" style="1" customWidth="1"/>
    <col min="3022" max="3022" width="14.6640625" style="1" customWidth="1"/>
    <col min="3023" max="3023" width="15.109375" style="1" customWidth="1"/>
    <col min="3024" max="3024" width="15" style="1" customWidth="1"/>
    <col min="3025" max="3025" width="14.109375" style="1" customWidth="1"/>
    <col min="3026" max="3026" width="15.44140625" style="1" customWidth="1"/>
    <col min="3027" max="3027" width="17.44140625" style="1" customWidth="1"/>
    <col min="3028" max="3028" width="16.33203125" style="1" customWidth="1"/>
    <col min="3029" max="3031" width="15.5546875" style="1" customWidth="1"/>
    <col min="3032" max="3034" width="13.44140625" style="1" bestFit="1" customWidth="1"/>
    <col min="3035" max="3035" width="15.109375" style="1" customWidth="1"/>
    <col min="3036" max="3036" width="14.109375" style="1" customWidth="1"/>
    <col min="3037" max="3037" width="14.33203125" style="1" customWidth="1"/>
    <col min="3038" max="3038" width="14.88671875" style="1" customWidth="1"/>
    <col min="3039" max="3039" width="14.5546875" style="1" customWidth="1"/>
    <col min="3040" max="3040" width="16.44140625" style="1" customWidth="1"/>
    <col min="3041" max="3041" width="16.33203125" style="1" customWidth="1"/>
    <col min="3042" max="3042" width="15.88671875" style="1" customWidth="1"/>
    <col min="3043" max="3043" width="16.33203125" style="1" customWidth="1"/>
    <col min="3044" max="3044" width="17" style="1" customWidth="1"/>
    <col min="3045" max="3045" width="16.33203125" style="1" customWidth="1"/>
    <col min="3046" max="3046" width="15.109375" style="1" customWidth="1"/>
    <col min="3047" max="3047" width="14.88671875" style="1" customWidth="1"/>
    <col min="3048" max="3049" width="13.6640625" style="1" customWidth="1"/>
    <col min="3050" max="3050" width="14.109375" style="1" customWidth="1"/>
    <col min="3051" max="3051" width="15.33203125" style="1" customWidth="1"/>
    <col min="3052" max="3053" width="15.5546875" style="1" customWidth="1"/>
    <col min="3054" max="3054" width="17.5546875" style="1" customWidth="1"/>
    <col min="3055" max="3055" width="17.88671875" style="1" customWidth="1"/>
    <col min="3056" max="3056" width="17.33203125" style="1" customWidth="1"/>
    <col min="3057" max="3059" width="13.44140625" style="1" bestFit="1" customWidth="1"/>
    <col min="3060" max="3060" width="13.44140625" style="1" customWidth="1"/>
    <col min="3061" max="3062" width="13.88671875" style="1" customWidth="1"/>
    <col min="3063" max="3065" width="13.44140625" style="1" bestFit="1" customWidth="1"/>
    <col min="3066" max="3066" width="13" style="1" customWidth="1"/>
    <col min="3067" max="3067" width="13.33203125" style="1" customWidth="1"/>
    <col min="3068" max="3068" width="14.88671875" style="1" customWidth="1"/>
    <col min="3069" max="3071" width="13.44140625" style="1"/>
    <col min="3072" max="3072" width="55" style="1" bestFit="1" customWidth="1"/>
    <col min="3073" max="3077" width="10.88671875" style="1" bestFit="1" customWidth="1"/>
    <col min="3078" max="3096" width="12.33203125" style="1" bestFit="1" customWidth="1"/>
    <col min="3097" max="3098" width="10.88671875" style="1" bestFit="1" customWidth="1"/>
    <col min="3099" max="3099" width="12.33203125" style="1" bestFit="1" customWidth="1"/>
    <col min="3100" max="3100" width="10.88671875" style="1" bestFit="1" customWidth="1"/>
    <col min="3101" max="3101" width="12.33203125" style="1" customWidth="1"/>
    <col min="3102" max="3102" width="12.33203125" style="1" bestFit="1" customWidth="1"/>
    <col min="3103" max="3103" width="10.88671875" style="1" bestFit="1" customWidth="1"/>
    <col min="3104" max="3104" width="12.33203125" style="1" bestFit="1" customWidth="1"/>
    <col min="3105" max="3123" width="10.88671875" style="1" bestFit="1" customWidth="1"/>
    <col min="3124" max="3140" width="12.33203125" style="1" bestFit="1" customWidth="1"/>
    <col min="3141" max="3142" width="10.88671875" style="1" bestFit="1" customWidth="1"/>
    <col min="3143" max="3143" width="12.33203125" style="1" bestFit="1" customWidth="1"/>
    <col min="3144" max="3148" width="10.88671875" style="1" bestFit="1" customWidth="1"/>
    <col min="3149" max="3156" width="12.33203125" style="1" bestFit="1" customWidth="1"/>
    <col min="3157" max="3157" width="10.88671875" style="1" bestFit="1" customWidth="1"/>
    <col min="3158" max="3159" width="12.33203125" style="1" bestFit="1" customWidth="1"/>
    <col min="3160" max="3160" width="10.88671875" style="1" bestFit="1" customWidth="1"/>
    <col min="3161" max="3163" width="12.33203125" style="1" bestFit="1" customWidth="1"/>
    <col min="3164" max="3165" width="10.88671875" style="1" customWidth="1"/>
    <col min="3166" max="3166" width="10.88671875" style="1" bestFit="1" customWidth="1"/>
    <col min="3167" max="3167" width="10.88671875" style="1" customWidth="1"/>
    <col min="3168" max="3175" width="10.88671875" style="1" bestFit="1" customWidth="1"/>
    <col min="3176" max="3176" width="12.33203125" style="1" bestFit="1" customWidth="1"/>
    <col min="3177" max="3177" width="10.88671875" style="1" bestFit="1" customWidth="1"/>
    <col min="3178" max="3193" width="12.33203125" style="1" bestFit="1" customWidth="1"/>
    <col min="3194" max="3194" width="10.88671875" style="1" bestFit="1" customWidth="1"/>
    <col min="3195" max="3197" width="12.33203125" style="1" bestFit="1" customWidth="1"/>
    <col min="3198" max="3198" width="13.44140625" style="1" bestFit="1" customWidth="1"/>
    <col min="3199" max="3200" width="12.33203125" style="1" bestFit="1" customWidth="1"/>
    <col min="3201" max="3202" width="13.44140625" style="1" bestFit="1" customWidth="1"/>
    <col min="3203" max="3218" width="12.33203125" style="1" bestFit="1" customWidth="1"/>
    <col min="3219" max="3219" width="13.44140625" style="1" bestFit="1" customWidth="1"/>
    <col min="3220" max="3220" width="12.33203125" style="1" bestFit="1" customWidth="1"/>
    <col min="3221" max="3221" width="13.44140625" style="1" bestFit="1" customWidth="1"/>
    <col min="3222" max="3223" width="12.33203125" style="1" bestFit="1" customWidth="1"/>
    <col min="3224" max="3227" width="13.44140625" style="1" bestFit="1" customWidth="1"/>
    <col min="3228" max="3230" width="12.33203125" style="1" bestFit="1" customWidth="1"/>
    <col min="3231" max="3231" width="13.44140625" style="1" bestFit="1" customWidth="1"/>
    <col min="3232" max="3234" width="12.33203125" style="1" bestFit="1" customWidth="1"/>
    <col min="3235" max="3237" width="13.5546875" style="1" bestFit="1" customWidth="1"/>
    <col min="3238" max="3239" width="13.44140625" style="1" bestFit="1" customWidth="1"/>
    <col min="3240" max="3240" width="13.5546875" style="1" bestFit="1" customWidth="1"/>
    <col min="3241" max="3242" width="13.44140625" style="1" bestFit="1" customWidth="1"/>
    <col min="3243" max="3244" width="12.33203125" style="1" bestFit="1" customWidth="1"/>
    <col min="3245" max="3245" width="13.44140625" style="1" bestFit="1" customWidth="1"/>
    <col min="3246" max="3249" width="12.33203125" style="1" bestFit="1" customWidth="1"/>
    <col min="3250" max="3250" width="14.33203125" style="1" customWidth="1"/>
    <col min="3251" max="3251" width="13.88671875" style="1" customWidth="1"/>
    <col min="3252" max="3252" width="13.33203125" style="1" customWidth="1"/>
    <col min="3253" max="3255" width="14.5546875" style="1" customWidth="1"/>
    <col min="3256" max="3256" width="17.33203125" style="1" customWidth="1"/>
    <col min="3257" max="3257" width="14.5546875" style="1" customWidth="1"/>
    <col min="3258" max="3258" width="15.5546875" style="1" customWidth="1"/>
    <col min="3259" max="3259" width="13.44140625" style="1" bestFit="1" customWidth="1"/>
    <col min="3260" max="3260" width="12.33203125" style="1" bestFit="1" customWidth="1"/>
    <col min="3261" max="3261" width="12.88671875" style="1" customWidth="1"/>
    <col min="3262" max="3262" width="14" style="1" customWidth="1"/>
    <col min="3263" max="3263" width="13.33203125" style="1" customWidth="1"/>
    <col min="3264" max="3264" width="13.44140625" style="1" customWidth="1"/>
    <col min="3265" max="3265" width="12.44140625" style="1" customWidth="1"/>
    <col min="3266" max="3266" width="12.109375" style="1" customWidth="1"/>
    <col min="3267" max="3267" width="13.33203125" style="1" customWidth="1"/>
    <col min="3268" max="3268" width="12.33203125" style="1" bestFit="1" customWidth="1"/>
    <col min="3269" max="3269" width="13.5546875" style="1" customWidth="1"/>
    <col min="3270" max="3270" width="13.44140625" style="1" bestFit="1" customWidth="1"/>
    <col min="3271" max="3272" width="12.33203125" style="1" bestFit="1" customWidth="1"/>
    <col min="3273" max="3276" width="13.44140625" style="1" bestFit="1" customWidth="1"/>
    <col min="3277" max="3277" width="15.44140625" style="1" customWidth="1"/>
    <col min="3278" max="3278" width="14.6640625" style="1" customWidth="1"/>
    <col min="3279" max="3279" width="15.109375" style="1" customWidth="1"/>
    <col min="3280" max="3280" width="15" style="1" customWidth="1"/>
    <col min="3281" max="3281" width="14.109375" style="1" customWidth="1"/>
    <col min="3282" max="3282" width="15.44140625" style="1" customWidth="1"/>
    <col min="3283" max="3283" width="17.44140625" style="1" customWidth="1"/>
    <col min="3284" max="3284" width="16.33203125" style="1" customWidth="1"/>
    <col min="3285" max="3287" width="15.5546875" style="1" customWidth="1"/>
    <col min="3288" max="3290" width="13.44140625" style="1" bestFit="1" customWidth="1"/>
    <col min="3291" max="3291" width="15.109375" style="1" customWidth="1"/>
    <col min="3292" max="3292" width="14.109375" style="1" customWidth="1"/>
    <col min="3293" max="3293" width="14.33203125" style="1" customWidth="1"/>
    <col min="3294" max="3294" width="14.88671875" style="1" customWidth="1"/>
    <col min="3295" max="3295" width="14.5546875" style="1" customWidth="1"/>
    <col min="3296" max="3296" width="16.44140625" style="1" customWidth="1"/>
    <col min="3297" max="3297" width="16.33203125" style="1" customWidth="1"/>
    <col min="3298" max="3298" width="15.88671875" style="1" customWidth="1"/>
    <col min="3299" max="3299" width="16.33203125" style="1" customWidth="1"/>
    <col min="3300" max="3300" width="17" style="1" customWidth="1"/>
    <col min="3301" max="3301" width="16.33203125" style="1" customWidth="1"/>
    <col min="3302" max="3302" width="15.109375" style="1" customWidth="1"/>
    <col min="3303" max="3303" width="14.88671875" style="1" customWidth="1"/>
    <col min="3304" max="3305" width="13.6640625" style="1" customWidth="1"/>
    <col min="3306" max="3306" width="14.109375" style="1" customWidth="1"/>
    <col min="3307" max="3307" width="15.33203125" style="1" customWidth="1"/>
    <col min="3308" max="3309" width="15.5546875" style="1" customWidth="1"/>
    <col min="3310" max="3310" width="17.5546875" style="1" customWidth="1"/>
    <col min="3311" max="3311" width="17.88671875" style="1" customWidth="1"/>
    <col min="3312" max="3312" width="17.33203125" style="1" customWidth="1"/>
    <col min="3313" max="3315" width="13.44140625" style="1" bestFit="1" customWidth="1"/>
    <col min="3316" max="3316" width="13.44140625" style="1" customWidth="1"/>
    <col min="3317" max="3318" width="13.88671875" style="1" customWidth="1"/>
    <col min="3319" max="3321" width="13.44140625" style="1" bestFit="1" customWidth="1"/>
    <col min="3322" max="3322" width="13" style="1" customWidth="1"/>
    <col min="3323" max="3323" width="13.33203125" style="1" customWidth="1"/>
    <col min="3324" max="3324" width="14.88671875" style="1" customWidth="1"/>
    <col min="3325" max="3327" width="13.44140625" style="1"/>
    <col min="3328" max="3328" width="55" style="1" bestFit="1" customWidth="1"/>
    <col min="3329" max="3333" width="10.88671875" style="1" bestFit="1" customWidth="1"/>
    <col min="3334" max="3352" width="12.33203125" style="1" bestFit="1" customWidth="1"/>
    <col min="3353" max="3354" width="10.88671875" style="1" bestFit="1" customWidth="1"/>
    <col min="3355" max="3355" width="12.33203125" style="1" bestFit="1" customWidth="1"/>
    <col min="3356" max="3356" width="10.88671875" style="1" bestFit="1" customWidth="1"/>
    <col min="3357" max="3357" width="12.33203125" style="1" customWidth="1"/>
    <col min="3358" max="3358" width="12.33203125" style="1" bestFit="1" customWidth="1"/>
    <col min="3359" max="3359" width="10.88671875" style="1" bestFit="1" customWidth="1"/>
    <col min="3360" max="3360" width="12.33203125" style="1" bestFit="1" customWidth="1"/>
    <col min="3361" max="3379" width="10.88671875" style="1" bestFit="1" customWidth="1"/>
    <col min="3380" max="3396" width="12.33203125" style="1" bestFit="1" customWidth="1"/>
    <col min="3397" max="3398" width="10.88671875" style="1" bestFit="1" customWidth="1"/>
    <col min="3399" max="3399" width="12.33203125" style="1" bestFit="1" customWidth="1"/>
    <col min="3400" max="3404" width="10.88671875" style="1" bestFit="1" customWidth="1"/>
    <col min="3405" max="3412" width="12.33203125" style="1" bestFit="1" customWidth="1"/>
    <col min="3413" max="3413" width="10.88671875" style="1" bestFit="1" customWidth="1"/>
    <col min="3414" max="3415" width="12.33203125" style="1" bestFit="1" customWidth="1"/>
    <col min="3416" max="3416" width="10.88671875" style="1" bestFit="1" customWidth="1"/>
    <col min="3417" max="3419" width="12.33203125" style="1" bestFit="1" customWidth="1"/>
    <col min="3420" max="3421" width="10.88671875" style="1" customWidth="1"/>
    <col min="3422" max="3422" width="10.88671875" style="1" bestFit="1" customWidth="1"/>
    <col min="3423" max="3423" width="10.88671875" style="1" customWidth="1"/>
    <col min="3424" max="3431" width="10.88671875" style="1" bestFit="1" customWidth="1"/>
    <col min="3432" max="3432" width="12.33203125" style="1" bestFit="1" customWidth="1"/>
    <col min="3433" max="3433" width="10.88671875" style="1" bestFit="1" customWidth="1"/>
    <col min="3434" max="3449" width="12.33203125" style="1" bestFit="1" customWidth="1"/>
    <col min="3450" max="3450" width="10.88671875" style="1" bestFit="1" customWidth="1"/>
    <col min="3451" max="3453" width="12.33203125" style="1" bestFit="1" customWidth="1"/>
    <col min="3454" max="3454" width="13.44140625" style="1" bestFit="1" customWidth="1"/>
    <col min="3455" max="3456" width="12.33203125" style="1" bestFit="1" customWidth="1"/>
    <col min="3457" max="3458" width="13.44140625" style="1" bestFit="1" customWidth="1"/>
    <col min="3459" max="3474" width="12.33203125" style="1" bestFit="1" customWidth="1"/>
    <col min="3475" max="3475" width="13.44140625" style="1" bestFit="1" customWidth="1"/>
    <col min="3476" max="3476" width="12.33203125" style="1" bestFit="1" customWidth="1"/>
    <col min="3477" max="3477" width="13.44140625" style="1" bestFit="1" customWidth="1"/>
    <col min="3478" max="3479" width="12.33203125" style="1" bestFit="1" customWidth="1"/>
    <col min="3480" max="3483" width="13.44140625" style="1" bestFit="1" customWidth="1"/>
    <col min="3484" max="3486" width="12.33203125" style="1" bestFit="1" customWidth="1"/>
    <col min="3487" max="3487" width="13.44140625" style="1" bestFit="1" customWidth="1"/>
    <col min="3488" max="3490" width="12.33203125" style="1" bestFit="1" customWidth="1"/>
    <col min="3491" max="3493" width="13.5546875" style="1" bestFit="1" customWidth="1"/>
    <col min="3494" max="3495" width="13.44140625" style="1" bestFit="1" customWidth="1"/>
    <col min="3496" max="3496" width="13.5546875" style="1" bestFit="1" customWidth="1"/>
    <col min="3497" max="3498" width="13.44140625" style="1" bestFit="1" customWidth="1"/>
    <col min="3499" max="3500" width="12.33203125" style="1" bestFit="1" customWidth="1"/>
    <col min="3501" max="3501" width="13.44140625" style="1" bestFit="1" customWidth="1"/>
    <col min="3502" max="3505" width="12.33203125" style="1" bestFit="1" customWidth="1"/>
    <col min="3506" max="3506" width="14.33203125" style="1" customWidth="1"/>
    <col min="3507" max="3507" width="13.88671875" style="1" customWidth="1"/>
    <col min="3508" max="3508" width="13.33203125" style="1" customWidth="1"/>
    <col min="3509" max="3511" width="14.5546875" style="1" customWidth="1"/>
    <col min="3512" max="3512" width="17.33203125" style="1" customWidth="1"/>
    <col min="3513" max="3513" width="14.5546875" style="1" customWidth="1"/>
    <col min="3514" max="3514" width="15.5546875" style="1" customWidth="1"/>
    <col min="3515" max="3515" width="13.44140625" style="1" bestFit="1" customWidth="1"/>
    <col min="3516" max="3516" width="12.33203125" style="1" bestFit="1" customWidth="1"/>
    <col min="3517" max="3517" width="12.88671875" style="1" customWidth="1"/>
    <col min="3518" max="3518" width="14" style="1" customWidth="1"/>
    <col min="3519" max="3519" width="13.33203125" style="1" customWidth="1"/>
    <col min="3520" max="3520" width="13.44140625" style="1" customWidth="1"/>
    <col min="3521" max="3521" width="12.44140625" style="1" customWidth="1"/>
    <col min="3522" max="3522" width="12.109375" style="1" customWidth="1"/>
    <col min="3523" max="3523" width="13.33203125" style="1" customWidth="1"/>
    <col min="3524" max="3524" width="12.33203125" style="1" bestFit="1" customWidth="1"/>
    <col min="3525" max="3525" width="13.5546875" style="1" customWidth="1"/>
    <col min="3526" max="3526" width="13.44140625" style="1" bestFit="1" customWidth="1"/>
    <col min="3527" max="3528" width="12.33203125" style="1" bestFit="1" customWidth="1"/>
    <col min="3529" max="3532" width="13.44140625" style="1" bestFit="1" customWidth="1"/>
    <col min="3533" max="3533" width="15.44140625" style="1" customWidth="1"/>
    <col min="3534" max="3534" width="14.6640625" style="1" customWidth="1"/>
    <col min="3535" max="3535" width="15.109375" style="1" customWidth="1"/>
    <col min="3536" max="3536" width="15" style="1" customWidth="1"/>
    <col min="3537" max="3537" width="14.109375" style="1" customWidth="1"/>
    <col min="3538" max="3538" width="15.44140625" style="1" customWidth="1"/>
    <col min="3539" max="3539" width="17.44140625" style="1" customWidth="1"/>
    <col min="3540" max="3540" width="16.33203125" style="1" customWidth="1"/>
    <col min="3541" max="3543" width="15.5546875" style="1" customWidth="1"/>
    <col min="3544" max="3546" width="13.44140625" style="1" bestFit="1" customWidth="1"/>
    <col min="3547" max="3547" width="15.109375" style="1" customWidth="1"/>
    <col min="3548" max="3548" width="14.109375" style="1" customWidth="1"/>
    <col min="3549" max="3549" width="14.33203125" style="1" customWidth="1"/>
    <col min="3550" max="3550" width="14.88671875" style="1" customWidth="1"/>
    <col min="3551" max="3551" width="14.5546875" style="1" customWidth="1"/>
    <col min="3552" max="3552" width="16.44140625" style="1" customWidth="1"/>
    <col min="3553" max="3553" width="16.33203125" style="1" customWidth="1"/>
    <col min="3554" max="3554" width="15.88671875" style="1" customWidth="1"/>
    <col min="3555" max="3555" width="16.33203125" style="1" customWidth="1"/>
    <col min="3556" max="3556" width="17" style="1" customWidth="1"/>
    <col min="3557" max="3557" width="16.33203125" style="1" customWidth="1"/>
    <col min="3558" max="3558" width="15.109375" style="1" customWidth="1"/>
    <col min="3559" max="3559" width="14.88671875" style="1" customWidth="1"/>
    <col min="3560" max="3561" width="13.6640625" style="1" customWidth="1"/>
    <col min="3562" max="3562" width="14.109375" style="1" customWidth="1"/>
    <col min="3563" max="3563" width="15.33203125" style="1" customWidth="1"/>
    <col min="3564" max="3565" width="15.5546875" style="1" customWidth="1"/>
    <col min="3566" max="3566" width="17.5546875" style="1" customWidth="1"/>
    <col min="3567" max="3567" width="17.88671875" style="1" customWidth="1"/>
    <col min="3568" max="3568" width="17.33203125" style="1" customWidth="1"/>
    <col min="3569" max="3571" width="13.44140625" style="1" bestFit="1" customWidth="1"/>
    <col min="3572" max="3572" width="13.44140625" style="1" customWidth="1"/>
    <col min="3573" max="3574" width="13.88671875" style="1" customWidth="1"/>
    <col min="3575" max="3577" width="13.44140625" style="1" bestFit="1" customWidth="1"/>
    <col min="3578" max="3578" width="13" style="1" customWidth="1"/>
    <col min="3579" max="3579" width="13.33203125" style="1" customWidth="1"/>
    <col min="3580" max="3580" width="14.88671875" style="1" customWidth="1"/>
    <col min="3581" max="3583" width="13.44140625" style="1"/>
    <col min="3584" max="3584" width="55" style="1" bestFit="1" customWidth="1"/>
    <col min="3585" max="3589" width="10.88671875" style="1" bestFit="1" customWidth="1"/>
    <col min="3590" max="3608" width="12.33203125" style="1" bestFit="1" customWidth="1"/>
    <col min="3609" max="3610" width="10.88671875" style="1" bestFit="1" customWidth="1"/>
    <col min="3611" max="3611" width="12.33203125" style="1" bestFit="1" customWidth="1"/>
    <col min="3612" max="3612" width="10.88671875" style="1" bestFit="1" customWidth="1"/>
    <col min="3613" max="3613" width="12.33203125" style="1" customWidth="1"/>
    <col min="3614" max="3614" width="12.33203125" style="1" bestFit="1" customWidth="1"/>
    <col min="3615" max="3615" width="10.88671875" style="1" bestFit="1" customWidth="1"/>
    <col min="3616" max="3616" width="12.33203125" style="1" bestFit="1" customWidth="1"/>
    <col min="3617" max="3635" width="10.88671875" style="1" bestFit="1" customWidth="1"/>
    <col min="3636" max="3652" width="12.33203125" style="1" bestFit="1" customWidth="1"/>
    <col min="3653" max="3654" width="10.88671875" style="1" bestFit="1" customWidth="1"/>
    <col min="3655" max="3655" width="12.33203125" style="1" bestFit="1" customWidth="1"/>
    <col min="3656" max="3660" width="10.88671875" style="1" bestFit="1" customWidth="1"/>
    <col min="3661" max="3668" width="12.33203125" style="1" bestFit="1" customWidth="1"/>
    <col min="3669" max="3669" width="10.88671875" style="1" bestFit="1" customWidth="1"/>
    <col min="3670" max="3671" width="12.33203125" style="1" bestFit="1" customWidth="1"/>
    <col min="3672" max="3672" width="10.88671875" style="1" bestFit="1" customWidth="1"/>
    <col min="3673" max="3675" width="12.33203125" style="1" bestFit="1" customWidth="1"/>
    <col min="3676" max="3677" width="10.88671875" style="1" customWidth="1"/>
    <col min="3678" max="3678" width="10.88671875" style="1" bestFit="1" customWidth="1"/>
    <col min="3679" max="3679" width="10.88671875" style="1" customWidth="1"/>
    <col min="3680" max="3687" width="10.88671875" style="1" bestFit="1" customWidth="1"/>
    <col min="3688" max="3688" width="12.33203125" style="1" bestFit="1" customWidth="1"/>
    <col min="3689" max="3689" width="10.88671875" style="1" bestFit="1" customWidth="1"/>
    <col min="3690" max="3705" width="12.33203125" style="1" bestFit="1" customWidth="1"/>
    <col min="3706" max="3706" width="10.88671875" style="1" bestFit="1" customWidth="1"/>
    <col min="3707" max="3709" width="12.33203125" style="1" bestFit="1" customWidth="1"/>
    <col min="3710" max="3710" width="13.44140625" style="1" bestFit="1" customWidth="1"/>
    <col min="3711" max="3712" width="12.33203125" style="1" bestFit="1" customWidth="1"/>
    <col min="3713" max="3714" width="13.44140625" style="1" bestFit="1" customWidth="1"/>
    <col min="3715" max="3730" width="12.33203125" style="1" bestFit="1" customWidth="1"/>
    <col min="3731" max="3731" width="13.44140625" style="1" bestFit="1" customWidth="1"/>
    <col min="3732" max="3732" width="12.33203125" style="1" bestFit="1" customWidth="1"/>
    <col min="3733" max="3733" width="13.44140625" style="1" bestFit="1" customWidth="1"/>
    <col min="3734" max="3735" width="12.33203125" style="1" bestFit="1" customWidth="1"/>
    <col min="3736" max="3739" width="13.44140625" style="1" bestFit="1" customWidth="1"/>
    <col min="3740" max="3742" width="12.33203125" style="1" bestFit="1" customWidth="1"/>
    <col min="3743" max="3743" width="13.44140625" style="1" bestFit="1" customWidth="1"/>
    <col min="3744" max="3746" width="12.33203125" style="1" bestFit="1" customWidth="1"/>
    <col min="3747" max="3749" width="13.5546875" style="1" bestFit="1" customWidth="1"/>
    <col min="3750" max="3751" width="13.44140625" style="1" bestFit="1" customWidth="1"/>
    <col min="3752" max="3752" width="13.5546875" style="1" bestFit="1" customWidth="1"/>
    <col min="3753" max="3754" width="13.44140625" style="1" bestFit="1" customWidth="1"/>
    <col min="3755" max="3756" width="12.33203125" style="1" bestFit="1" customWidth="1"/>
    <col min="3757" max="3757" width="13.44140625" style="1" bestFit="1" customWidth="1"/>
    <col min="3758" max="3761" width="12.33203125" style="1" bestFit="1" customWidth="1"/>
    <col min="3762" max="3762" width="14.33203125" style="1" customWidth="1"/>
    <col min="3763" max="3763" width="13.88671875" style="1" customWidth="1"/>
    <col min="3764" max="3764" width="13.33203125" style="1" customWidth="1"/>
    <col min="3765" max="3767" width="14.5546875" style="1" customWidth="1"/>
    <col min="3768" max="3768" width="17.33203125" style="1" customWidth="1"/>
    <col min="3769" max="3769" width="14.5546875" style="1" customWidth="1"/>
    <col min="3770" max="3770" width="15.5546875" style="1" customWidth="1"/>
    <col min="3771" max="3771" width="13.44140625" style="1" bestFit="1" customWidth="1"/>
    <col min="3772" max="3772" width="12.33203125" style="1" bestFit="1" customWidth="1"/>
    <col min="3773" max="3773" width="12.88671875" style="1" customWidth="1"/>
    <col min="3774" max="3774" width="14" style="1" customWidth="1"/>
    <col min="3775" max="3775" width="13.33203125" style="1" customWidth="1"/>
    <col min="3776" max="3776" width="13.44140625" style="1" customWidth="1"/>
    <col min="3777" max="3777" width="12.44140625" style="1" customWidth="1"/>
    <col min="3778" max="3778" width="12.109375" style="1" customWidth="1"/>
    <col min="3779" max="3779" width="13.33203125" style="1" customWidth="1"/>
    <col min="3780" max="3780" width="12.33203125" style="1" bestFit="1" customWidth="1"/>
    <col min="3781" max="3781" width="13.5546875" style="1" customWidth="1"/>
    <col min="3782" max="3782" width="13.44140625" style="1" bestFit="1" customWidth="1"/>
    <col min="3783" max="3784" width="12.33203125" style="1" bestFit="1" customWidth="1"/>
    <col min="3785" max="3788" width="13.44140625" style="1" bestFit="1" customWidth="1"/>
    <col min="3789" max="3789" width="15.44140625" style="1" customWidth="1"/>
    <col min="3790" max="3790" width="14.6640625" style="1" customWidth="1"/>
    <col min="3791" max="3791" width="15.109375" style="1" customWidth="1"/>
    <col min="3792" max="3792" width="15" style="1" customWidth="1"/>
    <col min="3793" max="3793" width="14.109375" style="1" customWidth="1"/>
    <col min="3794" max="3794" width="15.44140625" style="1" customWidth="1"/>
    <col min="3795" max="3795" width="17.44140625" style="1" customWidth="1"/>
    <col min="3796" max="3796" width="16.33203125" style="1" customWidth="1"/>
    <col min="3797" max="3799" width="15.5546875" style="1" customWidth="1"/>
    <col min="3800" max="3802" width="13.44140625" style="1" bestFit="1" customWidth="1"/>
    <col min="3803" max="3803" width="15.109375" style="1" customWidth="1"/>
    <col min="3804" max="3804" width="14.109375" style="1" customWidth="1"/>
    <col min="3805" max="3805" width="14.33203125" style="1" customWidth="1"/>
    <col min="3806" max="3806" width="14.88671875" style="1" customWidth="1"/>
    <col min="3807" max="3807" width="14.5546875" style="1" customWidth="1"/>
    <col min="3808" max="3808" width="16.44140625" style="1" customWidth="1"/>
    <col min="3809" max="3809" width="16.33203125" style="1" customWidth="1"/>
    <col min="3810" max="3810" width="15.88671875" style="1" customWidth="1"/>
    <col min="3811" max="3811" width="16.33203125" style="1" customWidth="1"/>
    <col min="3812" max="3812" width="17" style="1" customWidth="1"/>
    <col min="3813" max="3813" width="16.33203125" style="1" customWidth="1"/>
    <col min="3814" max="3814" width="15.109375" style="1" customWidth="1"/>
    <col min="3815" max="3815" width="14.88671875" style="1" customWidth="1"/>
    <col min="3816" max="3817" width="13.6640625" style="1" customWidth="1"/>
    <col min="3818" max="3818" width="14.109375" style="1" customWidth="1"/>
    <col min="3819" max="3819" width="15.33203125" style="1" customWidth="1"/>
    <col min="3820" max="3821" width="15.5546875" style="1" customWidth="1"/>
    <col min="3822" max="3822" width="17.5546875" style="1" customWidth="1"/>
    <col min="3823" max="3823" width="17.88671875" style="1" customWidth="1"/>
    <col min="3824" max="3824" width="17.33203125" style="1" customWidth="1"/>
    <col min="3825" max="3827" width="13.44140625" style="1" bestFit="1" customWidth="1"/>
    <col min="3828" max="3828" width="13.44140625" style="1" customWidth="1"/>
    <col min="3829" max="3830" width="13.88671875" style="1" customWidth="1"/>
    <col min="3831" max="3833" width="13.44140625" style="1" bestFit="1" customWidth="1"/>
    <col min="3834" max="3834" width="13" style="1" customWidth="1"/>
    <col min="3835" max="3835" width="13.33203125" style="1" customWidth="1"/>
    <col min="3836" max="3836" width="14.88671875" style="1" customWidth="1"/>
    <col min="3837" max="3839" width="13.44140625" style="1"/>
    <col min="3840" max="3840" width="55" style="1" bestFit="1" customWidth="1"/>
    <col min="3841" max="3845" width="10.88671875" style="1" bestFit="1" customWidth="1"/>
    <col min="3846" max="3864" width="12.33203125" style="1" bestFit="1" customWidth="1"/>
    <col min="3865" max="3866" width="10.88671875" style="1" bestFit="1" customWidth="1"/>
    <col min="3867" max="3867" width="12.33203125" style="1" bestFit="1" customWidth="1"/>
    <col min="3868" max="3868" width="10.88671875" style="1" bestFit="1" customWidth="1"/>
    <col min="3869" max="3869" width="12.33203125" style="1" customWidth="1"/>
    <col min="3870" max="3870" width="12.33203125" style="1" bestFit="1" customWidth="1"/>
    <col min="3871" max="3871" width="10.88671875" style="1" bestFit="1" customWidth="1"/>
    <col min="3872" max="3872" width="12.33203125" style="1" bestFit="1" customWidth="1"/>
    <col min="3873" max="3891" width="10.88671875" style="1" bestFit="1" customWidth="1"/>
    <col min="3892" max="3908" width="12.33203125" style="1" bestFit="1" customWidth="1"/>
    <col min="3909" max="3910" width="10.88671875" style="1" bestFit="1" customWidth="1"/>
    <col min="3911" max="3911" width="12.33203125" style="1" bestFit="1" customWidth="1"/>
    <col min="3912" max="3916" width="10.88671875" style="1" bestFit="1" customWidth="1"/>
    <col min="3917" max="3924" width="12.33203125" style="1" bestFit="1" customWidth="1"/>
    <col min="3925" max="3925" width="10.88671875" style="1" bestFit="1" customWidth="1"/>
    <col min="3926" max="3927" width="12.33203125" style="1" bestFit="1" customWidth="1"/>
    <col min="3928" max="3928" width="10.88671875" style="1" bestFit="1" customWidth="1"/>
    <col min="3929" max="3931" width="12.33203125" style="1" bestFit="1" customWidth="1"/>
    <col min="3932" max="3933" width="10.88671875" style="1" customWidth="1"/>
    <col min="3934" max="3934" width="10.88671875" style="1" bestFit="1" customWidth="1"/>
    <col min="3935" max="3935" width="10.88671875" style="1" customWidth="1"/>
    <col min="3936" max="3943" width="10.88671875" style="1" bestFit="1" customWidth="1"/>
    <col min="3944" max="3944" width="12.33203125" style="1" bestFit="1" customWidth="1"/>
    <col min="3945" max="3945" width="10.88671875" style="1" bestFit="1" customWidth="1"/>
    <col min="3946" max="3961" width="12.33203125" style="1" bestFit="1" customWidth="1"/>
    <col min="3962" max="3962" width="10.88671875" style="1" bestFit="1" customWidth="1"/>
    <col min="3963" max="3965" width="12.33203125" style="1" bestFit="1" customWidth="1"/>
    <col min="3966" max="3966" width="13.44140625" style="1" bestFit="1" customWidth="1"/>
    <col min="3967" max="3968" width="12.33203125" style="1" bestFit="1" customWidth="1"/>
    <col min="3969" max="3970" width="13.44140625" style="1" bestFit="1" customWidth="1"/>
    <col min="3971" max="3986" width="12.33203125" style="1" bestFit="1" customWidth="1"/>
    <col min="3987" max="3987" width="13.44140625" style="1" bestFit="1" customWidth="1"/>
    <col min="3988" max="3988" width="12.33203125" style="1" bestFit="1" customWidth="1"/>
    <col min="3989" max="3989" width="13.44140625" style="1" bestFit="1" customWidth="1"/>
    <col min="3990" max="3991" width="12.33203125" style="1" bestFit="1" customWidth="1"/>
    <col min="3992" max="3995" width="13.44140625" style="1" bestFit="1" customWidth="1"/>
    <col min="3996" max="3998" width="12.33203125" style="1" bestFit="1" customWidth="1"/>
    <col min="3999" max="3999" width="13.44140625" style="1" bestFit="1" customWidth="1"/>
    <col min="4000" max="4002" width="12.33203125" style="1" bestFit="1" customWidth="1"/>
    <col min="4003" max="4005" width="13.5546875" style="1" bestFit="1" customWidth="1"/>
    <col min="4006" max="4007" width="13.44140625" style="1" bestFit="1" customWidth="1"/>
    <col min="4008" max="4008" width="13.5546875" style="1" bestFit="1" customWidth="1"/>
    <col min="4009" max="4010" width="13.44140625" style="1" bestFit="1" customWidth="1"/>
    <col min="4011" max="4012" width="12.33203125" style="1" bestFit="1" customWidth="1"/>
    <col min="4013" max="4013" width="13.44140625" style="1" bestFit="1" customWidth="1"/>
    <col min="4014" max="4017" width="12.33203125" style="1" bestFit="1" customWidth="1"/>
    <col min="4018" max="4018" width="14.33203125" style="1" customWidth="1"/>
    <col min="4019" max="4019" width="13.88671875" style="1" customWidth="1"/>
    <col min="4020" max="4020" width="13.33203125" style="1" customWidth="1"/>
    <col min="4021" max="4023" width="14.5546875" style="1" customWidth="1"/>
    <col min="4024" max="4024" width="17.33203125" style="1" customWidth="1"/>
    <col min="4025" max="4025" width="14.5546875" style="1" customWidth="1"/>
    <col min="4026" max="4026" width="15.5546875" style="1" customWidth="1"/>
    <col min="4027" max="4027" width="13.44140625" style="1" bestFit="1" customWidth="1"/>
    <col min="4028" max="4028" width="12.33203125" style="1" bestFit="1" customWidth="1"/>
    <col min="4029" max="4029" width="12.88671875" style="1" customWidth="1"/>
    <col min="4030" max="4030" width="14" style="1" customWidth="1"/>
    <col min="4031" max="4031" width="13.33203125" style="1" customWidth="1"/>
    <col min="4032" max="4032" width="13.44140625" style="1" customWidth="1"/>
    <col min="4033" max="4033" width="12.44140625" style="1" customWidth="1"/>
    <col min="4034" max="4034" width="12.109375" style="1" customWidth="1"/>
    <col min="4035" max="4035" width="13.33203125" style="1" customWidth="1"/>
    <col min="4036" max="4036" width="12.33203125" style="1" bestFit="1" customWidth="1"/>
    <col min="4037" max="4037" width="13.5546875" style="1" customWidth="1"/>
    <col min="4038" max="4038" width="13.44140625" style="1" bestFit="1" customWidth="1"/>
    <col min="4039" max="4040" width="12.33203125" style="1" bestFit="1" customWidth="1"/>
    <col min="4041" max="4044" width="13.44140625" style="1" bestFit="1" customWidth="1"/>
    <col min="4045" max="4045" width="15.44140625" style="1" customWidth="1"/>
    <col min="4046" max="4046" width="14.6640625" style="1" customWidth="1"/>
    <col min="4047" max="4047" width="15.109375" style="1" customWidth="1"/>
    <col min="4048" max="4048" width="15" style="1" customWidth="1"/>
    <col min="4049" max="4049" width="14.109375" style="1" customWidth="1"/>
    <col min="4050" max="4050" width="15.44140625" style="1" customWidth="1"/>
    <col min="4051" max="4051" width="17.44140625" style="1" customWidth="1"/>
    <col min="4052" max="4052" width="16.33203125" style="1" customWidth="1"/>
    <col min="4053" max="4055" width="15.5546875" style="1" customWidth="1"/>
    <col min="4056" max="4058" width="13.44140625" style="1" bestFit="1" customWidth="1"/>
    <col min="4059" max="4059" width="15.109375" style="1" customWidth="1"/>
    <col min="4060" max="4060" width="14.109375" style="1" customWidth="1"/>
    <col min="4061" max="4061" width="14.33203125" style="1" customWidth="1"/>
    <col min="4062" max="4062" width="14.88671875" style="1" customWidth="1"/>
    <col min="4063" max="4063" width="14.5546875" style="1" customWidth="1"/>
    <col min="4064" max="4064" width="16.44140625" style="1" customWidth="1"/>
    <col min="4065" max="4065" width="16.33203125" style="1" customWidth="1"/>
    <col min="4066" max="4066" width="15.88671875" style="1" customWidth="1"/>
    <col min="4067" max="4067" width="16.33203125" style="1" customWidth="1"/>
    <col min="4068" max="4068" width="17" style="1" customWidth="1"/>
    <col min="4069" max="4069" width="16.33203125" style="1" customWidth="1"/>
    <col min="4070" max="4070" width="15.109375" style="1" customWidth="1"/>
    <col min="4071" max="4071" width="14.88671875" style="1" customWidth="1"/>
    <col min="4072" max="4073" width="13.6640625" style="1" customWidth="1"/>
    <col min="4074" max="4074" width="14.109375" style="1" customWidth="1"/>
    <col min="4075" max="4075" width="15.33203125" style="1" customWidth="1"/>
    <col min="4076" max="4077" width="15.5546875" style="1" customWidth="1"/>
    <col min="4078" max="4078" width="17.5546875" style="1" customWidth="1"/>
    <col min="4079" max="4079" width="17.88671875" style="1" customWidth="1"/>
    <col min="4080" max="4080" width="17.33203125" style="1" customWidth="1"/>
    <col min="4081" max="4083" width="13.44140625" style="1" bestFit="1" customWidth="1"/>
    <col min="4084" max="4084" width="13.44140625" style="1" customWidth="1"/>
    <col min="4085" max="4086" width="13.88671875" style="1" customWidth="1"/>
    <col min="4087" max="4089" width="13.44140625" style="1" bestFit="1" customWidth="1"/>
    <col min="4090" max="4090" width="13" style="1" customWidth="1"/>
    <col min="4091" max="4091" width="13.33203125" style="1" customWidth="1"/>
    <col min="4092" max="4092" width="14.88671875" style="1" customWidth="1"/>
    <col min="4093" max="4095" width="13.44140625" style="1"/>
    <col min="4096" max="4096" width="55" style="1" bestFit="1" customWidth="1"/>
    <col min="4097" max="4101" width="10.88671875" style="1" bestFit="1" customWidth="1"/>
    <col min="4102" max="4120" width="12.33203125" style="1" bestFit="1" customWidth="1"/>
    <col min="4121" max="4122" width="10.88671875" style="1" bestFit="1" customWidth="1"/>
    <col min="4123" max="4123" width="12.33203125" style="1" bestFit="1" customWidth="1"/>
    <col min="4124" max="4124" width="10.88671875" style="1" bestFit="1" customWidth="1"/>
    <col min="4125" max="4125" width="12.33203125" style="1" customWidth="1"/>
    <col min="4126" max="4126" width="12.33203125" style="1" bestFit="1" customWidth="1"/>
    <col min="4127" max="4127" width="10.88671875" style="1" bestFit="1" customWidth="1"/>
    <col min="4128" max="4128" width="12.33203125" style="1" bestFit="1" customWidth="1"/>
    <col min="4129" max="4147" width="10.88671875" style="1" bestFit="1" customWidth="1"/>
    <col min="4148" max="4164" width="12.33203125" style="1" bestFit="1" customWidth="1"/>
    <col min="4165" max="4166" width="10.88671875" style="1" bestFit="1" customWidth="1"/>
    <col min="4167" max="4167" width="12.33203125" style="1" bestFit="1" customWidth="1"/>
    <col min="4168" max="4172" width="10.88671875" style="1" bestFit="1" customWidth="1"/>
    <col min="4173" max="4180" width="12.33203125" style="1" bestFit="1" customWidth="1"/>
    <col min="4181" max="4181" width="10.88671875" style="1" bestFit="1" customWidth="1"/>
    <col min="4182" max="4183" width="12.33203125" style="1" bestFit="1" customWidth="1"/>
    <col min="4184" max="4184" width="10.88671875" style="1" bestFit="1" customWidth="1"/>
    <col min="4185" max="4187" width="12.33203125" style="1" bestFit="1" customWidth="1"/>
    <col min="4188" max="4189" width="10.88671875" style="1" customWidth="1"/>
    <col min="4190" max="4190" width="10.88671875" style="1" bestFit="1" customWidth="1"/>
    <col min="4191" max="4191" width="10.88671875" style="1" customWidth="1"/>
    <col min="4192" max="4199" width="10.88671875" style="1" bestFit="1" customWidth="1"/>
    <col min="4200" max="4200" width="12.33203125" style="1" bestFit="1" customWidth="1"/>
    <col min="4201" max="4201" width="10.88671875" style="1" bestFit="1" customWidth="1"/>
    <col min="4202" max="4217" width="12.33203125" style="1" bestFit="1" customWidth="1"/>
    <col min="4218" max="4218" width="10.88671875" style="1" bestFit="1" customWidth="1"/>
    <col min="4219" max="4221" width="12.33203125" style="1" bestFit="1" customWidth="1"/>
    <col min="4222" max="4222" width="13.44140625" style="1" bestFit="1" customWidth="1"/>
    <col min="4223" max="4224" width="12.33203125" style="1" bestFit="1" customWidth="1"/>
    <col min="4225" max="4226" width="13.44140625" style="1" bestFit="1" customWidth="1"/>
    <col min="4227" max="4242" width="12.33203125" style="1" bestFit="1" customWidth="1"/>
    <col min="4243" max="4243" width="13.44140625" style="1" bestFit="1" customWidth="1"/>
    <col min="4244" max="4244" width="12.33203125" style="1" bestFit="1" customWidth="1"/>
    <col min="4245" max="4245" width="13.44140625" style="1" bestFit="1" customWidth="1"/>
    <col min="4246" max="4247" width="12.33203125" style="1" bestFit="1" customWidth="1"/>
    <col min="4248" max="4251" width="13.44140625" style="1" bestFit="1" customWidth="1"/>
    <col min="4252" max="4254" width="12.33203125" style="1" bestFit="1" customWidth="1"/>
    <col min="4255" max="4255" width="13.44140625" style="1" bestFit="1" customWidth="1"/>
    <col min="4256" max="4258" width="12.33203125" style="1" bestFit="1" customWidth="1"/>
    <col min="4259" max="4261" width="13.5546875" style="1" bestFit="1" customWidth="1"/>
    <col min="4262" max="4263" width="13.44140625" style="1" bestFit="1" customWidth="1"/>
    <col min="4264" max="4264" width="13.5546875" style="1" bestFit="1" customWidth="1"/>
    <col min="4265" max="4266" width="13.44140625" style="1" bestFit="1" customWidth="1"/>
    <col min="4267" max="4268" width="12.33203125" style="1" bestFit="1" customWidth="1"/>
    <col min="4269" max="4269" width="13.44140625" style="1" bestFit="1" customWidth="1"/>
    <col min="4270" max="4273" width="12.33203125" style="1" bestFit="1" customWidth="1"/>
    <col min="4274" max="4274" width="14.33203125" style="1" customWidth="1"/>
    <col min="4275" max="4275" width="13.88671875" style="1" customWidth="1"/>
    <col min="4276" max="4276" width="13.33203125" style="1" customWidth="1"/>
    <col min="4277" max="4279" width="14.5546875" style="1" customWidth="1"/>
    <col min="4280" max="4280" width="17.33203125" style="1" customWidth="1"/>
    <col min="4281" max="4281" width="14.5546875" style="1" customWidth="1"/>
    <col min="4282" max="4282" width="15.5546875" style="1" customWidth="1"/>
    <col min="4283" max="4283" width="13.44140625" style="1" bestFit="1" customWidth="1"/>
    <col min="4284" max="4284" width="12.33203125" style="1" bestFit="1" customWidth="1"/>
    <col min="4285" max="4285" width="12.88671875" style="1" customWidth="1"/>
    <col min="4286" max="4286" width="14" style="1" customWidth="1"/>
    <col min="4287" max="4287" width="13.33203125" style="1" customWidth="1"/>
    <col min="4288" max="4288" width="13.44140625" style="1" customWidth="1"/>
    <col min="4289" max="4289" width="12.44140625" style="1" customWidth="1"/>
    <col min="4290" max="4290" width="12.109375" style="1" customWidth="1"/>
    <col min="4291" max="4291" width="13.33203125" style="1" customWidth="1"/>
    <col min="4292" max="4292" width="12.33203125" style="1" bestFit="1" customWidth="1"/>
    <col min="4293" max="4293" width="13.5546875" style="1" customWidth="1"/>
    <col min="4294" max="4294" width="13.44140625" style="1" bestFit="1" customWidth="1"/>
    <col min="4295" max="4296" width="12.33203125" style="1" bestFit="1" customWidth="1"/>
    <col min="4297" max="4300" width="13.44140625" style="1" bestFit="1" customWidth="1"/>
    <col min="4301" max="4301" width="15.44140625" style="1" customWidth="1"/>
    <col min="4302" max="4302" width="14.6640625" style="1" customWidth="1"/>
    <col min="4303" max="4303" width="15.109375" style="1" customWidth="1"/>
    <col min="4304" max="4304" width="15" style="1" customWidth="1"/>
    <col min="4305" max="4305" width="14.109375" style="1" customWidth="1"/>
    <col min="4306" max="4306" width="15.44140625" style="1" customWidth="1"/>
    <col min="4307" max="4307" width="17.44140625" style="1" customWidth="1"/>
    <col min="4308" max="4308" width="16.33203125" style="1" customWidth="1"/>
    <col min="4309" max="4311" width="15.5546875" style="1" customWidth="1"/>
    <col min="4312" max="4314" width="13.44140625" style="1" bestFit="1" customWidth="1"/>
    <col min="4315" max="4315" width="15.109375" style="1" customWidth="1"/>
    <col min="4316" max="4316" width="14.109375" style="1" customWidth="1"/>
    <col min="4317" max="4317" width="14.33203125" style="1" customWidth="1"/>
    <col min="4318" max="4318" width="14.88671875" style="1" customWidth="1"/>
    <col min="4319" max="4319" width="14.5546875" style="1" customWidth="1"/>
    <col min="4320" max="4320" width="16.44140625" style="1" customWidth="1"/>
    <col min="4321" max="4321" width="16.33203125" style="1" customWidth="1"/>
    <col min="4322" max="4322" width="15.88671875" style="1" customWidth="1"/>
    <col min="4323" max="4323" width="16.33203125" style="1" customWidth="1"/>
    <col min="4324" max="4324" width="17" style="1" customWidth="1"/>
    <col min="4325" max="4325" width="16.33203125" style="1" customWidth="1"/>
    <col min="4326" max="4326" width="15.109375" style="1" customWidth="1"/>
    <col min="4327" max="4327" width="14.88671875" style="1" customWidth="1"/>
    <col min="4328" max="4329" width="13.6640625" style="1" customWidth="1"/>
    <col min="4330" max="4330" width="14.109375" style="1" customWidth="1"/>
    <col min="4331" max="4331" width="15.33203125" style="1" customWidth="1"/>
    <col min="4332" max="4333" width="15.5546875" style="1" customWidth="1"/>
    <col min="4334" max="4334" width="17.5546875" style="1" customWidth="1"/>
    <col min="4335" max="4335" width="17.88671875" style="1" customWidth="1"/>
    <col min="4336" max="4336" width="17.33203125" style="1" customWidth="1"/>
    <col min="4337" max="4339" width="13.44140625" style="1" bestFit="1" customWidth="1"/>
    <col min="4340" max="4340" width="13.44140625" style="1" customWidth="1"/>
    <col min="4341" max="4342" width="13.88671875" style="1" customWidth="1"/>
    <col min="4343" max="4345" width="13.44140625" style="1" bestFit="1" customWidth="1"/>
    <col min="4346" max="4346" width="13" style="1" customWidth="1"/>
    <col min="4347" max="4347" width="13.33203125" style="1" customWidth="1"/>
    <col min="4348" max="4348" width="14.88671875" style="1" customWidth="1"/>
    <col min="4349" max="4351" width="13.44140625" style="1"/>
    <col min="4352" max="4352" width="55" style="1" bestFit="1" customWidth="1"/>
    <col min="4353" max="4357" width="10.88671875" style="1" bestFit="1" customWidth="1"/>
    <col min="4358" max="4376" width="12.33203125" style="1" bestFit="1" customWidth="1"/>
    <col min="4377" max="4378" width="10.88671875" style="1" bestFit="1" customWidth="1"/>
    <col min="4379" max="4379" width="12.33203125" style="1" bestFit="1" customWidth="1"/>
    <col min="4380" max="4380" width="10.88671875" style="1" bestFit="1" customWidth="1"/>
    <col min="4381" max="4381" width="12.33203125" style="1" customWidth="1"/>
    <col min="4382" max="4382" width="12.33203125" style="1" bestFit="1" customWidth="1"/>
    <col min="4383" max="4383" width="10.88671875" style="1" bestFit="1" customWidth="1"/>
    <col min="4384" max="4384" width="12.33203125" style="1" bestFit="1" customWidth="1"/>
    <col min="4385" max="4403" width="10.88671875" style="1" bestFit="1" customWidth="1"/>
    <col min="4404" max="4420" width="12.33203125" style="1" bestFit="1" customWidth="1"/>
    <col min="4421" max="4422" width="10.88671875" style="1" bestFit="1" customWidth="1"/>
    <col min="4423" max="4423" width="12.33203125" style="1" bestFit="1" customWidth="1"/>
    <col min="4424" max="4428" width="10.88671875" style="1" bestFit="1" customWidth="1"/>
    <col min="4429" max="4436" width="12.33203125" style="1" bestFit="1" customWidth="1"/>
    <col min="4437" max="4437" width="10.88671875" style="1" bestFit="1" customWidth="1"/>
    <col min="4438" max="4439" width="12.33203125" style="1" bestFit="1" customWidth="1"/>
    <col min="4440" max="4440" width="10.88671875" style="1" bestFit="1" customWidth="1"/>
    <col min="4441" max="4443" width="12.33203125" style="1" bestFit="1" customWidth="1"/>
    <col min="4444" max="4445" width="10.88671875" style="1" customWidth="1"/>
    <col min="4446" max="4446" width="10.88671875" style="1" bestFit="1" customWidth="1"/>
    <col min="4447" max="4447" width="10.88671875" style="1" customWidth="1"/>
    <col min="4448" max="4455" width="10.88671875" style="1" bestFit="1" customWidth="1"/>
    <col min="4456" max="4456" width="12.33203125" style="1" bestFit="1" customWidth="1"/>
    <col min="4457" max="4457" width="10.88671875" style="1" bestFit="1" customWidth="1"/>
    <col min="4458" max="4473" width="12.33203125" style="1" bestFit="1" customWidth="1"/>
    <col min="4474" max="4474" width="10.88671875" style="1" bestFit="1" customWidth="1"/>
    <col min="4475" max="4477" width="12.33203125" style="1" bestFit="1" customWidth="1"/>
    <col min="4478" max="4478" width="13.44140625" style="1" bestFit="1" customWidth="1"/>
    <col min="4479" max="4480" width="12.33203125" style="1" bestFit="1" customWidth="1"/>
    <col min="4481" max="4482" width="13.44140625" style="1" bestFit="1" customWidth="1"/>
    <col min="4483" max="4498" width="12.33203125" style="1" bestFit="1" customWidth="1"/>
    <col min="4499" max="4499" width="13.44140625" style="1" bestFit="1" customWidth="1"/>
    <col min="4500" max="4500" width="12.33203125" style="1" bestFit="1" customWidth="1"/>
    <col min="4501" max="4501" width="13.44140625" style="1" bestFit="1" customWidth="1"/>
    <col min="4502" max="4503" width="12.33203125" style="1" bestFit="1" customWidth="1"/>
    <col min="4504" max="4507" width="13.44140625" style="1" bestFit="1" customWidth="1"/>
    <col min="4508" max="4510" width="12.33203125" style="1" bestFit="1" customWidth="1"/>
    <col min="4511" max="4511" width="13.44140625" style="1" bestFit="1" customWidth="1"/>
    <col min="4512" max="4514" width="12.33203125" style="1" bestFit="1" customWidth="1"/>
    <col min="4515" max="4517" width="13.5546875" style="1" bestFit="1" customWidth="1"/>
    <col min="4518" max="4519" width="13.44140625" style="1" bestFit="1" customWidth="1"/>
    <col min="4520" max="4520" width="13.5546875" style="1" bestFit="1" customWidth="1"/>
    <col min="4521" max="4522" width="13.44140625" style="1" bestFit="1" customWidth="1"/>
    <col min="4523" max="4524" width="12.33203125" style="1" bestFit="1" customWidth="1"/>
    <col min="4525" max="4525" width="13.44140625" style="1" bestFit="1" customWidth="1"/>
    <col min="4526" max="4529" width="12.33203125" style="1" bestFit="1" customWidth="1"/>
    <col min="4530" max="4530" width="14.33203125" style="1" customWidth="1"/>
    <col min="4531" max="4531" width="13.88671875" style="1" customWidth="1"/>
    <col min="4532" max="4532" width="13.33203125" style="1" customWidth="1"/>
    <col min="4533" max="4535" width="14.5546875" style="1" customWidth="1"/>
    <col min="4536" max="4536" width="17.33203125" style="1" customWidth="1"/>
    <col min="4537" max="4537" width="14.5546875" style="1" customWidth="1"/>
    <col min="4538" max="4538" width="15.5546875" style="1" customWidth="1"/>
    <col min="4539" max="4539" width="13.44140625" style="1" bestFit="1" customWidth="1"/>
    <col min="4540" max="4540" width="12.33203125" style="1" bestFit="1" customWidth="1"/>
    <col min="4541" max="4541" width="12.88671875" style="1" customWidth="1"/>
    <col min="4542" max="4542" width="14" style="1" customWidth="1"/>
    <col min="4543" max="4543" width="13.33203125" style="1" customWidth="1"/>
    <col min="4544" max="4544" width="13.44140625" style="1" customWidth="1"/>
    <col min="4545" max="4545" width="12.44140625" style="1" customWidth="1"/>
    <col min="4546" max="4546" width="12.109375" style="1" customWidth="1"/>
    <col min="4547" max="4547" width="13.33203125" style="1" customWidth="1"/>
    <col min="4548" max="4548" width="12.33203125" style="1" bestFit="1" customWidth="1"/>
    <col min="4549" max="4549" width="13.5546875" style="1" customWidth="1"/>
    <col min="4550" max="4550" width="13.44140625" style="1" bestFit="1" customWidth="1"/>
    <col min="4551" max="4552" width="12.33203125" style="1" bestFit="1" customWidth="1"/>
    <col min="4553" max="4556" width="13.44140625" style="1" bestFit="1" customWidth="1"/>
    <col min="4557" max="4557" width="15.44140625" style="1" customWidth="1"/>
    <col min="4558" max="4558" width="14.6640625" style="1" customWidth="1"/>
    <col min="4559" max="4559" width="15.109375" style="1" customWidth="1"/>
    <col min="4560" max="4560" width="15" style="1" customWidth="1"/>
    <col min="4561" max="4561" width="14.109375" style="1" customWidth="1"/>
    <col min="4562" max="4562" width="15.44140625" style="1" customWidth="1"/>
    <col min="4563" max="4563" width="17.44140625" style="1" customWidth="1"/>
    <col min="4564" max="4564" width="16.33203125" style="1" customWidth="1"/>
    <col min="4565" max="4567" width="15.5546875" style="1" customWidth="1"/>
    <col min="4568" max="4570" width="13.44140625" style="1" bestFit="1" customWidth="1"/>
    <col min="4571" max="4571" width="15.109375" style="1" customWidth="1"/>
    <col min="4572" max="4572" width="14.109375" style="1" customWidth="1"/>
    <col min="4573" max="4573" width="14.33203125" style="1" customWidth="1"/>
    <col min="4574" max="4574" width="14.88671875" style="1" customWidth="1"/>
    <col min="4575" max="4575" width="14.5546875" style="1" customWidth="1"/>
    <col min="4576" max="4576" width="16.44140625" style="1" customWidth="1"/>
    <col min="4577" max="4577" width="16.33203125" style="1" customWidth="1"/>
    <col min="4578" max="4578" width="15.88671875" style="1" customWidth="1"/>
    <col min="4579" max="4579" width="16.33203125" style="1" customWidth="1"/>
    <col min="4580" max="4580" width="17" style="1" customWidth="1"/>
    <col min="4581" max="4581" width="16.33203125" style="1" customWidth="1"/>
    <col min="4582" max="4582" width="15.109375" style="1" customWidth="1"/>
    <col min="4583" max="4583" width="14.88671875" style="1" customWidth="1"/>
    <col min="4584" max="4585" width="13.6640625" style="1" customWidth="1"/>
    <col min="4586" max="4586" width="14.109375" style="1" customWidth="1"/>
    <col min="4587" max="4587" width="15.33203125" style="1" customWidth="1"/>
    <col min="4588" max="4589" width="15.5546875" style="1" customWidth="1"/>
    <col min="4590" max="4590" width="17.5546875" style="1" customWidth="1"/>
    <col min="4591" max="4591" width="17.88671875" style="1" customWidth="1"/>
    <col min="4592" max="4592" width="17.33203125" style="1" customWidth="1"/>
    <col min="4593" max="4595" width="13.44140625" style="1" bestFit="1" customWidth="1"/>
    <col min="4596" max="4596" width="13.44140625" style="1" customWidth="1"/>
    <col min="4597" max="4598" width="13.88671875" style="1" customWidth="1"/>
    <col min="4599" max="4601" width="13.44140625" style="1" bestFit="1" customWidth="1"/>
    <col min="4602" max="4602" width="13" style="1" customWidth="1"/>
    <col min="4603" max="4603" width="13.33203125" style="1" customWidth="1"/>
    <col min="4604" max="4604" width="14.88671875" style="1" customWidth="1"/>
    <col min="4605" max="4607" width="13.44140625" style="1"/>
    <col min="4608" max="4608" width="55" style="1" bestFit="1" customWidth="1"/>
    <col min="4609" max="4613" width="10.88671875" style="1" bestFit="1" customWidth="1"/>
    <col min="4614" max="4632" width="12.33203125" style="1" bestFit="1" customWidth="1"/>
    <col min="4633" max="4634" width="10.88671875" style="1" bestFit="1" customWidth="1"/>
    <col min="4635" max="4635" width="12.33203125" style="1" bestFit="1" customWidth="1"/>
    <col min="4636" max="4636" width="10.88671875" style="1" bestFit="1" customWidth="1"/>
    <col min="4637" max="4637" width="12.33203125" style="1" customWidth="1"/>
    <col min="4638" max="4638" width="12.33203125" style="1" bestFit="1" customWidth="1"/>
    <col min="4639" max="4639" width="10.88671875" style="1" bestFit="1" customWidth="1"/>
    <col min="4640" max="4640" width="12.33203125" style="1" bestFit="1" customWidth="1"/>
    <col min="4641" max="4659" width="10.88671875" style="1" bestFit="1" customWidth="1"/>
    <col min="4660" max="4676" width="12.33203125" style="1" bestFit="1" customWidth="1"/>
    <col min="4677" max="4678" width="10.88671875" style="1" bestFit="1" customWidth="1"/>
    <col min="4679" max="4679" width="12.33203125" style="1" bestFit="1" customWidth="1"/>
    <col min="4680" max="4684" width="10.88671875" style="1" bestFit="1" customWidth="1"/>
    <col min="4685" max="4692" width="12.33203125" style="1" bestFit="1" customWidth="1"/>
    <col min="4693" max="4693" width="10.88671875" style="1" bestFit="1" customWidth="1"/>
    <col min="4694" max="4695" width="12.33203125" style="1" bestFit="1" customWidth="1"/>
    <col min="4696" max="4696" width="10.88671875" style="1" bestFit="1" customWidth="1"/>
    <col min="4697" max="4699" width="12.33203125" style="1" bestFit="1" customWidth="1"/>
    <col min="4700" max="4701" width="10.88671875" style="1" customWidth="1"/>
    <col min="4702" max="4702" width="10.88671875" style="1" bestFit="1" customWidth="1"/>
    <col min="4703" max="4703" width="10.88671875" style="1" customWidth="1"/>
    <col min="4704" max="4711" width="10.88671875" style="1" bestFit="1" customWidth="1"/>
    <col min="4712" max="4712" width="12.33203125" style="1" bestFit="1" customWidth="1"/>
    <col min="4713" max="4713" width="10.88671875" style="1" bestFit="1" customWidth="1"/>
    <col min="4714" max="4729" width="12.33203125" style="1" bestFit="1" customWidth="1"/>
    <col min="4730" max="4730" width="10.88671875" style="1" bestFit="1" customWidth="1"/>
    <col min="4731" max="4733" width="12.33203125" style="1" bestFit="1" customWidth="1"/>
    <col min="4734" max="4734" width="13.44140625" style="1" bestFit="1" customWidth="1"/>
    <col min="4735" max="4736" width="12.33203125" style="1" bestFit="1" customWidth="1"/>
    <col min="4737" max="4738" width="13.44140625" style="1" bestFit="1" customWidth="1"/>
    <col min="4739" max="4754" width="12.33203125" style="1" bestFit="1" customWidth="1"/>
    <col min="4755" max="4755" width="13.44140625" style="1" bestFit="1" customWidth="1"/>
    <col min="4756" max="4756" width="12.33203125" style="1" bestFit="1" customWidth="1"/>
    <col min="4757" max="4757" width="13.44140625" style="1" bestFit="1" customWidth="1"/>
    <col min="4758" max="4759" width="12.33203125" style="1" bestFit="1" customWidth="1"/>
    <col min="4760" max="4763" width="13.44140625" style="1" bestFit="1" customWidth="1"/>
    <col min="4764" max="4766" width="12.33203125" style="1" bestFit="1" customWidth="1"/>
    <col min="4767" max="4767" width="13.44140625" style="1" bestFit="1" customWidth="1"/>
    <col min="4768" max="4770" width="12.33203125" style="1" bestFit="1" customWidth="1"/>
    <col min="4771" max="4773" width="13.5546875" style="1" bestFit="1" customWidth="1"/>
    <col min="4774" max="4775" width="13.44140625" style="1" bestFit="1" customWidth="1"/>
    <col min="4776" max="4776" width="13.5546875" style="1" bestFit="1" customWidth="1"/>
    <col min="4777" max="4778" width="13.44140625" style="1" bestFit="1" customWidth="1"/>
    <col min="4779" max="4780" width="12.33203125" style="1" bestFit="1" customWidth="1"/>
    <col min="4781" max="4781" width="13.44140625" style="1" bestFit="1" customWidth="1"/>
    <col min="4782" max="4785" width="12.33203125" style="1" bestFit="1" customWidth="1"/>
    <col min="4786" max="4786" width="14.33203125" style="1" customWidth="1"/>
    <col min="4787" max="4787" width="13.88671875" style="1" customWidth="1"/>
    <col min="4788" max="4788" width="13.33203125" style="1" customWidth="1"/>
    <col min="4789" max="4791" width="14.5546875" style="1" customWidth="1"/>
    <col min="4792" max="4792" width="17.33203125" style="1" customWidth="1"/>
    <col min="4793" max="4793" width="14.5546875" style="1" customWidth="1"/>
    <col min="4794" max="4794" width="15.5546875" style="1" customWidth="1"/>
    <col min="4795" max="4795" width="13.44140625" style="1" bestFit="1" customWidth="1"/>
    <col min="4796" max="4796" width="12.33203125" style="1" bestFit="1" customWidth="1"/>
    <col min="4797" max="4797" width="12.88671875" style="1" customWidth="1"/>
    <col min="4798" max="4798" width="14" style="1" customWidth="1"/>
    <col min="4799" max="4799" width="13.33203125" style="1" customWidth="1"/>
    <col min="4800" max="4800" width="13.44140625" style="1" customWidth="1"/>
    <col min="4801" max="4801" width="12.44140625" style="1" customWidth="1"/>
    <col min="4802" max="4802" width="12.109375" style="1" customWidth="1"/>
    <col min="4803" max="4803" width="13.33203125" style="1" customWidth="1"/>
    <col min="4804" max="4804" width="12.33203125" style="1" bestFit="1" customWidth="1"/>
    <col min="4805" max="4805" width="13.5546875" style="1" customWidth="1"/>
    <col min="4806" max="4806" width="13.44140625" style="1" bestFit="1" customWidth="1"/>
    <col min="4807" max="4808" width="12.33203125" style="1" bestFit="1" customWidth="1"/>
    <col min="4809" max="4812" width="13.44140625" style="1" bestFit="1" customWidth="1"/>
    <col min="4813" max="4813" width="15.44140625" style="1" customWidth="1"/>
    <col min="4814" max="4814" width="14.6640625" style="1" customWidth="1"/>
    <col min="4815" max="4815" width="15.109375" style="1" customWidth="1"/>
    <col min="4816" max="4816" width="15" style="1" customWidth="1"/>
    <col min="4817" max="4817" width="14.109375" style="1" customWidth="1"/>
    <col min="4818" max="4818" width="15.44140625" style="1" customWidth="1"/>
    <col min="4819" max="4819" width="17.44140625" style="1" customWidth="1"/>
    <col min="4820" max="4820" width="16.33203125" style="1" customWidth="1"/>
    <col min="4821" max="4823" width="15.5546875" style="1" customWidth="1"/>
    <col min="4824" max="4826" width="13.44140625" style="1" bestFit="1" customWidth="1"/>
    <col min="4827" max="4827" width="15.109375" style="1" customWidth="1"/>
    <col min="4828" max="4828" width="14.109375" style="1" customWidth="1"/>
    <col min="4829" max="4829" width="14.33203125" style="1" customWidth="1"/>
    <col min="4830" max="4830" width="14.88671875" style="1" customWidth="1"/>
    <col min="4831" max="4831" width="14.5546875" style="1" customWidth="1"/>
    <col min="4832" max="4832" width="16.44140625" style="1" customWidth="1"/>
    <col min="4833" max="4833" width="16.33203125" style="1" customWidth="1"/>
    <col min="4834" max="4834" width="15.88671875" style="1" customWidth="1"/>
    <col min="4835" max="4835" width="16.33203125" style="1" customWidth="1"/>
    <col min="4836" max="4836" width="17" style="1" customWidth="1"/>
    <col min="4837" max="4837" width="16.33203125" style="1" customWidth="1"/>
    <col min="4838" max="4838" width="15.109375" style="1" customWidth="1"/>
    <col min="4839" max="4839" width="14.88671875" style="1" customWidth="1"/>
    <col min="4840" max="4841" width="13.6640625" style="1" customWidth="1"/>
    <col min="4842" max="4842" width="14.109375" style="1" customWidth="1"/>
    <col min="4843" max="4843" width="15.33203125" style="1" customWidth="1"/>
    <col min="4844" max="4845" width="15.5546875" style="1" customWidth="1"/>
    <col min="4846" max="4846" width="17.5546875" style="1" customWidth="1"/>
    <col min="4847" max="4847" width="17.88671875" style="1" customWidth="1"/>
    <col min="4848" max="4848" width="17.33203125" style="1" customWidth="1"/>
    <col min="4849" max="4851" width="13.44140625" style="1" bestFit="1" customWidth="1"/>
    <col min="4852" max="4852" width="13.44140625" style="1" customWidth="1"/>
    <col min="4853" max="4854" width="13.88671875" style="1" customWidth="1"/>
    <col min="4855" max="4857" width="13.44140625" style="1" bestFit="1" customWidth="1"/>
    <col min="4858" max="4858" width="13" style="1" customWidth="1"/>
    <col min="4859" max="4859" width="13.33203125" style="1" customWidth="1"/>
    <col min="4860" max="4860" width="14.88671875" style="1" customWidth="1"/>
    <col min="4861" max="4863" width="13.44140625" style="1"/>
    <col min="4864" max="4864" width="55" style="1" bestFit="1" customWidth="1"/>
    <col min="4865" max="4869" width="10.88671875" style="1" bestFit="1" customWidth="1"/>
    <col min="4870" max="4888" width="12.33203125" style="1" bestFit="1" customWidth="1"/>
    <col min="4889" max="4890" width="10.88671875" style="1" bestFit="1" customWidth="1"/>
    <col min="4891" max="4891" width="12.33203125" style="1" bestFit="1" customWidth="1"/>
    <col min="4892" max="4892" width="10.88671875" style="1" bestFit="1" customWidth="1"/>
    <col min="4893" max="4893" width="12.33203125" style="1" customWidth="1"/>
    <col min="4894" max="4894" width="12.33203125" style="1" bestFit="1" customWidth="1"/>
    <col min="4895" max="4895" width="10.88671875" style="1" bestFit="1" customWidth="1"/>
    <col min="4896" max="4896" width="12.33203125" style="1" bestFit="1" customWidth="1"/>
    <col min="4897" max="4915" width="10.88671875" style="1" bestFit="1" customWidth="1"/>
    <col min="4916" max="4932" width="12.33203125" style="1" bestFit="1" customWidth="1"/>
    <col min="4933" max="4934" width="10.88671875" style="1" bestFit="1" customWidth="1"/>
    <col min="4935" max="4935" width="12.33203125" style="1" bestFit="1" customWidth="1"/>
    <col min="4936" max="4940" width="10.88671875" style="1" bestFit="1" customWidth="1"/>
    <col min="4941" max="4948" width="12.33203125" style="1" bestFit="1" customWidth="1"/>
    <col min="4949" max="4949" width="10.88671875" style="1" bestFit="1" customWidth="1"/>
    <col min="4950" max="4951" width="12.33203125" style="1" bestFit="1" customWidth="1"/>
    <col min="4952" max="4952" width="10.88671875" style="1" bestFit="1" customWidth="1"/>
    <col min="4953" max="4955" width="12.33203125" style="1" bestFit="1" customWidth="1"/>
    <col min="4956" max="4957" width="10.88671875" style="1" customWidth="1"/>
    <col min="4958" max="4958" width="10.88671875" style="1" bestFit="1" customWidth="1"/>
    <col min="4959" max="4959" width="10.88671875" style="1" customWidth="1"/>
    <col min="4960" max="4967" width="10.88671875" style="1" bestFit="1" customWidth="1"/>
    <col min="4968" max="4968" width="12.33203125" style="1" bestFit="1" customWidth="1"/>
    <col min="4969" max="4969" width="10.88671875" style="1" bestFit="1" customWidth="1"/>
    <col min="4970" max="4985" width="12.33203125" style="1" bestFit="1" customWidth="1"/>
    <col min="4986" max="4986" width="10.88671875" style="1" bestFit="1" customWidth="1"/>
    <col min="4987" max="4989" width="12.33203125" style="1" bestFit="1" customWidth="1"/>
    <col min="4990" max="4990" width="13.44140625" style="1" bestFit="1" customWidth="1"/>
    <col min="4991" max="4992" width="12.33203125" style="1" bestFit="1" customWidth="1"/>
    <col min="4993" max="4994" width="13.44140625" style="1" bestFit="1" customWidth="1"/>
    <col min="4995" max="5010" width="12.33203125" style="1" bestFit="1" customWidth="1"/>
    <col min="5011" max="5011" width="13.44140625" style="1" bestFit="1" customWidth="1"/>
    <col min="5012" max="5012" width="12.33203125" style="1" bestFit="1" customWidth="1"/>
    <col min="5013" max="5013" width="13.44140625" style="1" bestFit="1" customWidth="1"/>
    <col min="5014" max="5015" width="12.33203125" style="1" bestFit="1" customWidth="1"/>
    <col min="5016" max="5019" width="13.44140625" style="1" bestFit="1" customWidth="1"/>
    <col min="5020" max="5022" width="12.33203125" style="1" bestFit="1" customWidth="1"/>
    <col min="5023" max="5023" width="13.44140625" style="1" bestFit="1" customWidth="1"/>
    <col min="5024" max="5026" width="12.33203125" style="1" bestFit="1" customWidth="1"/>
    <col min="5027" max="5029" width="13.5546875" style="1" bestFit="1" customWidth="1"/>
    <col min="5030" max="5031" width="13.44140625" style="1" bestFit="1" customWidth="1"/>
    <col min="5032" max="5032" width="13.5546875" style="1" bestFit="1" customWidth="1"/>
    <col min="5033" max="5034" width="13.44140625" style="1" bestFit="1" customWidth="1"/>
    <col min="5035" max="5036" width="12.33203125" style="1" bestFit="1" customWidth="1"/>
    <col min="5037" max="5037" width="13.44140625" style="1" bestFit="1" customWidth="1"/>
    <col min="5038" max="5041" width="12.33203125" style="1" bestFit="1" customWidth="1"/>
    <col min="5042" max="5042" width="14.33203125" style="1" customWidth="1"/>
    <col min="5043" max="5043" width="13.88671875" style="1" customWidth="1"/>
    <col min="5044" max="5044" width="13.33203125" style="1" customWidth="1"/>
    <col min="5045" max="5047" width="14.5546875" style="1" customWidth="1"/>
    <col min="5048" max="5048" width="17.33203125" style="1" customWidth="1"/>
    <col min="5049" max="5049" width="14.5546875" style="1" customWidth="1"/>
    <col min="5050" max="5050" width="15.5546875" style="1" customWidth="1"/>
    <col min="5051" max="5051" width="13.44140625" style="1" bestFit="1" customWidth="1"/>
    <col min="5052" max="5052" width="12.33203125" style="1" bestFit="1" customWidth="1"/>
    <col min="5053" max="5053" width="12.88671875" style="1" customWidth="1"/>
    <col min="5054" max="5054" width="14" style="1" customWidth="1"/>
    <col min="5055" max="5055" width="13.33203125" style="1" customWidth="1"/>
    <col min="5056" max="5056" width="13.44140625" style="1" customWidth="1"/>
    <col min="5057" max="5057" width="12.44140625" style="1" customWidth="1"/>
    <col min="5058" max="5058" width="12.109375" style="1" customWidth="1"/>
    <col min="5059" max="5059" width="13.33203125" style="1" customWidth="1"/>
    <col min="5060" max="5060" width="12.33203125" style="1" bestFit="1" customWidth="1"/>
    <col min="5061" max="5061" width="13.5546875" style="1" customWidth="1"/>
    <col min="5062" max="5062" width="13.44140625" style="1" bestFit="1" customWidth="1"/>
    <col min="5063" max="5064" width="12.33203125" style="1" bestFit="1" customWidth="1"/>
    <col min="5065" max="5068" width="13.44140625" style="1" bestFit="1" customWidth="1"/>
    <col min="5069" max="5069" width="15.44140625" style="1" customWidth="1"/>
    <col min="5070" max="5070" width="14.6640625" style="1" customWidth="1"/>
    <col min="5071" max="5071" width="15.109375" style="1" customWidth="1"/>
    <col min="5072" max="5072" width="15" style="1" customWidth="1"/>
    <col min="5073" max="5073" width="14.109375" style="1" customWidth="1"/>
    <col min="5074" max="5074" width="15.44140625" style="1" customWidth="1"/>
    <col min="5075" max="5075" width="17.44140625" style="1" customWidth="1"/>
    <col min="5076" max="5076" width="16.33203125" style="1" customWidth="1"/>
    <col min="5077" max="5079" width="15.5546875" style="1" customWidth="1"/>
    <col min="5080" max="5082" width="13.44140625" style="1" bestFit="1" customWidth="1"/>
    <col min="5083" max="5083" width="15.109375" style="1" customWidth="1"/>
    <col min="5084" max="5084" width="14.109375" style="1" customWidth="1"/>
    <col min="5085" max="5085" width="14.33203125" style="1" customWidth="1"/>
    <col min="5086" max="5086" width="14.88671875" style="1" customWidth="1"/>
    <col min="5087" max="5087" width="14.5546875" style="1" customWidth="1"/>
    <col min="5088" max="5088" width="16.44140625" style="1" customWidth="1"/>
    <col min="5089" max="5089" width="16.33203125" style="1" customWidth="1"/>
    <col min="5090" max="5090" width="15.88671875" style="1" customWidth="1"/>
    <col min="5091" max="5091" width="16.33203125" style="1" customWidth="1"/>
    <col min="5092" max="5092" width="17" style="1" customWidth="1"/>
    <col min="5093" max="5093" width="16.33203125" style="1" customWidth="1"/>
    <col min="5094" max="5094" width="15.109375" style="1" customWidth="1"/>
    <col min="5095" max="5095" width="14.88671875" style="1" customWidth="1"/>
    <col min="5096" max="5097" width="13.6640625" style="1" customWidth="1"/>
    <col min="5098" max="5098" width="14.109375" style="1" customWidth="1"/>
    <col min="5099" max="5099" width="15.33203125" style="1" customWidth="1"/>
    <col min="5100" max="5101" width="15.5546875" style="1" customWidth="1"/>
    <col min="5102" max="5102" width="17.5546875" style="1" customWidth="1"/>
    <col min="5103" max="5103" width="17.88671875" style="1" customWidth="1"/>
    <col min="5104" max="5104" width="17.33203125" style="1" customWidth="1"/>
    <col min="5105" max="5107" width="13.44140625" style="1" bestFit="1" customWidth="1"/>
    <col min="5108" max="5108" width="13.44140625" style="1" customWidth="1"/>
    <col min="5109" max="5110" width="13.88671875" style="1" customWidth="1"/>
    <col min="5111" max="5113" width="13.44140625" style="1" bestFit="1" customWidth="1"/>
    <col min="5114" max="5114" width="13" style="1" customWidth="1"/>
    <col min="5115" max="5115" width="13.33203125" style="1" customWidth="1"/>
    <col min="5116" max="5116" width="14.88671875" style="1" customWidth="1"/>
    <col min="5117" max="5119" width="13.44140625" style="1"/>
    <col min="5120" max="5120" width="55" style="1" bestFit="1" customWidth="1"/>
    <col min="5121" max="5125" width="10.88671875" style="1" bestFit="1" customWidth="1"/>
    <col min="5126" max="5144" width="12.33203125" style="1" bestFit="1" customWidth="1"/>
    <col min="5145" max="5146" width="10.88671875" style="1" bestFit="1" customWidth="1"/>
    <col min="5147" max="5147" width="12.33203125" style="1" bestFit="1" customWidth="1"/>
    <col min="5148" max="5148" width="10.88671875" style="1" bestFit="1" customWidth="1"/>
    <col min="5149" max="5149" width="12.33203125" style="1" customWidth="1"/>
    <col min="5150" max="5150" width="12.33203125" style="1" bestFit="1" customWidth="1"/>
    <col min="5151" max="5151" width="10.88671875" style="1" bestFit="1" customWidth="1"/>
    <col min="5152" max="5152" width="12.33203125" style="1" bestFit="1" customWidth="1"/>
    <col min="5153" max="5171" width="10.88671875" style="1" bestFit="1" customWidth="1"/>
    <col min="5172" max="5188" width="12.33203125" style="1" bestFit="1" customWidth="1"/>
    <col min="5189" max="5190" width="10.88671875" style="1" bestFit="1" customWidth="1"/>
    <col min="5191" max="5191" width="12.33203125" style="1" bestFit="1" customWidth="1"/>
    <col min="5192" max="5196" width="10.88671875" style="1" bestFit="1" customWidth="1"/>
    <col min="5197" max="5204" width="12.33203125" style="1" bestFit="1" customWidth="1"/>
    <col min="5205" max="5205" width="10.88671875" style="1" bestFit="1" customWidth="1"/>
    <col min="5206" max="5207" width="12.33203125" style="1" bestFit="1" customWidth="1"/>
    <col min="5208" max="5208" width="10.88671875" style="1" bestFit="1" customWidth="1"/>
    <col min="5209" max="5211" width="12.33203125" style="1" bestFit="1" customWidth="1"/>
    <col min="5212" max="5213" width="10.88671875" style="1" customWidth="1"/>
    <col min="5214" max="5214" width="10.88671875" style="1" bestFit="1" customWidth="1"/>
    <col min="5215" max="5215" width="10.88671875" style="1" customWidth="1"/>
    <col min="5216" max="5223" width="10.88671875" style="1" bestFit="1" customWidth="1"/>
    <col min="5224" max="5224" width="12.33203125" style="1" bestFit="1" customWidth="1"/>
    <col min="5225" max="5225" width="10.88671875" style="1" bestFit="1" customWidth="1"/>
    <col min="5226" max="5241" width="12.33203125" style="1" bestFit="1" customWidth="1"/>
    <col min="5242" max="5242" width="10.88671875" style="1" bestFit="1" customWidth="1"/>
    <col min="5243" max="5245" width="12.33203125" style="1" bestFit="1" customWidth="1"/>
    <col min="5246" max="5246" width="13.44140625" style="1" bestFit="1" customWidth="1"/>
    <col min="5247" max="5248" width="12.33203125" style="1" bestFit="1" customWidth="1"/>
    <col min="5249" max="5250" width="13.44140625" style="1" bestFit="1" customWidth="1"/>
    <col min="5251" max="5266" width="12.33203125" style="1" bestFit="1" customWidth="1"/>
    <col min="5267" max="5267" width="13.44140625" style="1" bestFit="1" customWidth="1"/>
    <col min="5268" max="5268" width="12.33203125" style="1" bestFit="1" customWidth="1"/>
    <col min="5269" max="5269" width="13.44140625" style="1" bestFit="1" customWidth="1"/>
    <col min="5270" max="5271" width="12.33203125" style="1" bestFit="1" customWidth="1"/>
    <col min="5272" max="5275" width="13.44140625" style="1" bestFit="1" customWidth="1"/>
    <col min="5276" max="5278" width="12.33203125" style="1" bestFit="1" customWidth="1"/>
    <col min="5279" max="5279" width="13.44140625" style="1" bestFit="1" customWidth="1"/>
    <col min="5280" max="5282" width="12.33203125" style="1" bestFit="1" customWidth="1"/>
    <col min="5283" max="5285" width="13.5546875" style="1" bestFit="1" customWidth="1"/>
    <col min="5286" max="5287" width="13.44140625" style="1" bestFit="1" customWidth="1"/>
    <col min="5288" max="5288" width="13.5546875" style="1" bestFit="1" customWidth="1"/>
    <col min="5289" max="5290" width="13.44140625" style="1" bestFit="1" customWidth="1"/>
    <col min="5291" max="5292" width="12.33203125" style="1" bestFit="1" customWidth="1"/>
    <col min="5293" max="5293" width="13.44140625" style="1" bestFit="1" customWidth="1"/>
    <col min="5294" max="5297" width="12.33203125" style="1" bestFit="1" customWidth="1"/>
    <col min="5298" max="5298" width="14.33203125" style="1" customWidth="1"/>
    <col min="5299" max="5299" width="13.88671875" style="1" customWidth="1"/>
    <col min="5300" max="5300" width="13.33203125" style="1" customWidth="1"/>
    <col min="5301" max="5303" width="14.5546875" style="1" customWidth="1"/>
    <col min="5304" max="5304" width="17.33203125" style="1" customWidth="1"/>
    <col min="5305" max="5305" width="14.5546875" style="1" customWidth="1"/>
    <col min="5306" max="5306" width="15.5546875" style="1" customWidth="1"/>
    <col min="5307" max="5307" width="13.44140625" style="1" bestFit="1" customWidth="1"/>
    <col min="5308" max="5308" width="12.33203125" style="1" bestFit="1" customWidth="1"/>
    <col min="5309" max="5309" width="12.88671875" style="1" customWidth="1"/>
    <col min="5310" max="5310" width="14" style="1" customWidth="1"/>
    <col min="5311" max="5311" width="13.33203125" style="1" customWidth="1"/>
    <col min="5312" max="5312" width="13.44140625" style="1" customWidth="1"/>
    <col min="5313" max="5313" width="12.44140625" style="1" customWidth="1"/>
    <col min="5314" max="5314" width="12.109375" style="1" customWidth="1"/>
    <col min="5315" max="5315" width="13.33203125" style="1" customWidth="1"/>
    <col min="5316" max="5316" width="12.33203125" style="1" bestFit="1" customWidth="1"/>
    <col min="5317" max="5317" width="13.5546875" style="1" customWidth="1"/>
    <col min="5318" max="5318" width="13.44140625" style="1" bestFit="1" customWidth="1"/>
    <col min="5319" max="5320" width="12.33203125" style="1" bestFit="1" customWidth="1"/>
    <col min="5321" max="5324" width="13.44140625" style="1" bestFit="1" customWidth="1"/>
    <col min="5325" max="5325" width="15.44140625" style="1" customWidth="1"/>
    <col min="5326" max="5326" width="14.6640625" style="1" customWidth="1"/>
    <col min="5327" max="5327" width="15.109375" style="1" customWidth="1"/>
    <col min="5328" max="5328" width="15" style="1" customWidth="1"/>
    <col min="5329" max="5329" width="14.109375" style="1" customWidth="1"/>
    <col min="5330" max="5330" width="15.44140625" style="1" customWidth="1"/>
    <col min="5331" max="5331" width="17.44140625" style="1" customWidth="1"/>
    <col min="5332" max="5332" width="16.33203125" style="1" customWidth="1"/>
    <col min="5333" max="5335" width="15.5546875" style="1" customWidth="1"/>
    <col min="5336" max="5338" width="13.44140625" style="1" bestFit="1" customWidth="1"/>
    <col min="5339" max="5339" width="15.109375" style="1" customWidth="1"/>
    <col min="5340" max="5340" width="14.109375" style="1" customWidth="1"/>
    <col min="5341" max="5341" width="14.33203125" style="1" customWidth="1"/>
    <col min="5342" max="5342" width="14.88671875" style="1" customWidth="1"/>
    <col min="5343" max="5343" width="14.5546875" style="1" customWidth="1"/>
    <col min="5344" max="5344" width="16.44140625" style="1" customWidth="1"/>
    <col min="5345" max="5345" width="16.33203125" style="1" customWidth="1"/>
    <col min="5346" max="5346" width="15.88671875" style="1" customWidth="1"/>
    <col min="5347" max="5347" width="16.33203125" style="1" customWidth="1"/>
    <col min="5348" max="5348" width="17" style="1" customWidth="1"/>
    <col min="5349" max="5349" width="16.33203125" style="1" customWidth="1"/>
    <col min="5350" max="5350" width="15.109375" style="1" customWidth="1"/>
    <col min="5351" max="5351" width="14.88671875" style="1" customWidth="1"/>
    <col min="5352" max="5353" width="13.6640625" style="1" customWidth="1"/>
    <col min="5354" max="5354" width="14.109375" style="1" customWidth="1"/>
    <col min="5355" max="5355" width="15.33203125" style="1" customWidth="1"/>
    <col min="5356" max="5357" width="15.5546875" style="1" customWidth="1"/>
    <col min="5358" max="5358" width="17.5546875" style="1" customWidth="1"/>
    <col min="5359" max="5359" width="17.88671875" style="1" customWidth="1"/>
    <col min="5360" max="5360" width="17.33203125" style="1" customWidth="1"/>
    <col min="5361" max="5363" width="13.44140625" style="1" bestFit="1" customWidth="1"/>
    <col min="5364" max="5364" width="13.44140625" style="1" customWidth="1"/>
    <col min="5365" max="5366" width="13.88671875" style="1" customWidth="1"/>
    <col min="5367" max="5369" width="13.44140625" style="1" bestFit="1" customWidth="1"/>
    <col min="5370" max="5370" width="13" style="1" customWidth="1"/>
    <col min="5371" max="5371" width="13.33203125" style="1" customWidth="1"/>
    <col min="5372" max="5372" width="14.88671875" style="1" customWidth="1"/>
    <col min="5373" max="5375" width="13.44140625" style="1"/>
    <col min="5376" max="5376" width="55" style="1" bestFit="1" customWidth="1"/>
    <col min="5377" max="5381" width="10.88671875" style="1" bestFit="1" customWidth="1"/>
    <col min="5382" max="5400" width="12.33203125" style="1" bestFit="1" customWidth="1"/>
    <col min="5401" max="5402" width="10.88671875" style="1" bestFit="1" customWidth="1"/>
    <col min="5403" max="5403" width="12.33203125" style="1" bestFit="1" customWidth="1"/>
    <col min="5404" max="5404" width="10.88671875" style="1" bestFit="1" customWidth="1"/>
    <col min="5405" max="5405" width="12.33203125" style="1" customWidth="1"/>
    <col min="5406" max="5406" width="12.33203125" style="1" bestFit="1" customWidth="1"/>
    <col min="5407" max="5407" width="10.88671875" style="1" bestFit="1" customWidth="1"/>
    <col min="5408" max="5408" width="12.33203125" style="1" bestFit="1" customWidth="1"/>
    <col min="5409" max="5427" width="10.88671875" style="1" bestFit="1" customWidth="1"/>
    <col min="5428" max="5444" width="12.33203125" style="1" bestFit="1" customWidth="1"/>
    <col min="5445" max="5446" width="10.88671875" style="1" bestFit="1" customWidth="1"/>
    <col min="5447" max="5447" width="12.33203125" style="1" bestFit="1" customWidth="1"/>
    <col min="5448" max="5452" width="10.88671875" style="1" bestFit="1" customWidth="1"/>
    <col min="5453" max="5460" width="12.33203125" style="1" bestFit="1" customWidth="1"/>
    <col min="5461" max="5461" width="10.88671875" style="1" bestFit="1" customWidth="1"/>
    <col min="5462" max="5463" width="12.33203125" style="1" bestFit="1" customWidth="1"/>
    <col min="5464" max="5464" width="10.88671875" style="1" bestFit="1" customWidth="1"/>
    <col min="5465" max="5467" width="12.33203125" style="1" bestFit="1" customWidth="1"/>
    <col min="5468" max="5469" width="10.88671875" style="1" customWidth="1"/>
    <col min="5470" max="5470" width="10.88671875" style="1" bestFit="1" customWidth="1"/>
    <col min="5471" max="5471" width="10.88671875" style="1" customWidth="1"/>
    <col min="5472" max="5479" width="10.88671875" style="1" bestFit="1" customWidth="1"/>
    <col min="5480" max="5480" width="12.33203125" style="1" bestFit="1" customWidth="1"/>
    <col min="5481" max="5481" width="10.88671875" style="1" bestFit="1" customWidth="1"/>
    <col min="5482" max="5497" width="12.33203125" style="1" bestFit="1" customWidth="1"/>
    <col min="5498" max="5498" width="10.88671875" style="1" bestFit="1" customWidth="1"/>
    <col min="5499" max="5501" width="12.33203125" style="1" bestFit="1" customWidth="1"/>
    <col min="5502" max="5502" width="13.44140625" style="1" bestFit="1" customWidth="1"/>
    <col min="5503" max="5504" width="12.33203125" style="1" bestFit="1" customWidth="1"/>
    <col min="5505" max="5506" width="13.44140625" style="1" bestFit="1" customWidth="1"/>
    <col min="5507" max="5522" width="12.33203125" style="1" bestFit="1" customWidth="1"/>
    <col min="5523" max="5523" width="13.44140625" style="1" bestFit="1" customWidth="1"/>
    <col min="5524" max="5524" width="12.33203125" style="1" bestFit="1" customWidth="1"/>
    <col min="5525" max="5525" width="13.44140625" style="1" bestFit="1" customWidth="1"/>
    <col min="5526" max="5527" width="12.33203125" style="1" bestFit="1" customWidth="1"/>
    <col min="5528" max="5531" width="13.44140625" style="1" bestFit="1" customWidth="1"/>
    <col min="5532" max="5534" width="12.33203125" style="1" bestFit="1" customWidth="1"/>
    <col min="5535" max="5535" width="13.44140625" style="1" bestFit="1" customWidth="1"/>
    <col min="5536" max="5538" width="12.33203125" style="1" bestFit="1" customWidth="1"/>
    <col min="5539" max="5541" width="13.5546875" style="1" bestFit="1" customWidth="1"/>
    <col min="5542" max="5543" width="13.44140625" style="1" bestFit="1" customWidth="1"/>
    <col min="5544" max="5544" width="13.5546875" style="1" bestFit="1" customWidth="1"/>
    <col min="5545" max="5546" width="13.44140625" style="1" bestFit="1" customWidth="1"/>
    <col min="5547" max="5548" width="12.33203125" style="1" bestFit="1" customWidth="1"/>
    <col min="5549" max="5549" width="13.44140625" style="1" bestFit="1" customWidth="1"/>
    <col min="5550" max="5553" width="12.33203125" style="1" bestFit="1" customWidth="1"/>
    <col min="5554" max="5554" width="14.33203125" style="1" customWidth="1"/>
    <col min="5555" max="5555" width="13.88671875" style="1" customWidth="1"/>
    <col min="5556" max="5556" width="13.33203125" style="1" customWidth="1"/>
    <col min="5557" max="5559" width="14.5546875" style="1" customWidth="1"/>
    <col min="5560" max="5560" width="17.33203125" style="1" customWidth="1"/>
    <col min="5561" max="5561" width="14.5546875" style="1" customWidth="1"/>
    <col min="5562" max="5562" width="15.5546875" style="1" customWidth="1"/>
    <col min="5563" max="5563" width="13.44140625" style="1" bestFit="1" customWidth="1"/>
    <col min="5564" max="5564" width="12.33203125" style="1" bestFit="1" customWidth="1"/>
    <col min="5565" max="5565" width="12.88671875" style="1" customWidth="1"/>
    <col min="5566" max="5566" width="14" style="1" customWidth="1"/>
    <col min="5567" max="5567" width="13.33203125" style="1" customWidth="1"/>
    <col min="5568" max="5568" width="13.44140625" style="1" customWidth="1"/>
    <col min="5569" max="5569" width="12.44140625" style="1" customWidth="1"/>
    <col min="5570" max="5570" width="12.109375" style="1" customWidth="1"/>
    <col min="5571" max="5571" width="13.33203125" style="1" customWidth="1"/>
    <col min="5572" max="5572" width="12.33203125" style="1" bestFit="1" customWidth="1"/>
    <col min="5573" max="5573" width="13.5546875" style="1" customWidth="1"/>
    <col min="5574" max="5574" width="13.44140625" style="1" bestFit="1" customWidth="1"/>
    <col min="5575" max="5576" width="12.33203125" style="1" bestFit="1" customWidth="1"/>
    <col min="5577" max="5580" width="13.44140625" style="1" bestFit="1" customWidth="1"/>
    <col min="5581" max="5581" width="15.44140625" style="1" customWidth="1"/>
    <col min="5582" max="5582" width="14.6640625" style="1" customWidth="1"/>
    <col min="5583" max="5583" width="15.109375" style="1" customWidth="1"/>
    <col min="5584" max="5584" width="15" style="1" customWidth="1"/>
    <col min="5585" max="5585" width="14.109375" style="1" customWidth="1"/>
    <col min="5586" max="5586" width="15.44140625" style="1" customWidth="1"/>
    <col min="5587" max="5587" width="17.44140625" style="1" customWidth="1"/>
    <col min="5588" max="5588" width="16.33203125" style="1" customWidth="1"/>
    <col min="5589" max="5591" width="15.5546875" style="1" customWidth="1"/>
    <col min="5592" max="5594" width="13.44140625" style="1" bestFit="1" customWidth="1"/>
    <col min="5595" max="5595" width="15.109375" style="1" customWidth="1"/>
    <col min="5596" max="5596" width="14.109375" style="1" customWidth="1"/>
    <col min="5597" max="5597" width="14.33203125" style="1" customWidth="1"/>
    <col min="5598" max="5598" width="14.88671875" style="1" customWidth="1"/>
    <col min="5599" max="5599" width="14.5546875" style="1" customWidth="1"/>
    <col min="5600" max="5600" width="16.44140625" style="1" customWidth="1"/>
    <col min="5601" max="5601" width="16.33203125" style="1" customWidth="1"/>
    <col min="5602" max="5602" width="15.88671875" style="1" customWidth="1"/>
    <col min="5603" max="5603" width="16.33203125" style="1" customWidth="1"/>
    <col min="5604" max="5604" width="17" style="1" customWidth="1"/>
    <col min="5605" max="5605" width="16.33203125" style="1" customWidth="1"/>
    <col min="5606" max="5606" width="15.109375" style="1" customWidth="1"/>
    <col min="5607" max="5607" width="14.88671875" style="1" customWidth="1"/>
    <col min="5608" max="5609" width="13.6640625" style="1" customWidth="1"/>
    <col min="5610" max="5610" width="14.109375" style="1" customWidth="1"/>
    <col min="5611" max="5611" width="15.33203125" style="1" customWidth="1"/>
    <col min="5612" max="5613" width="15.5546875" style="1" customWidth="1"/>
    <col min="5614" max="5614" width="17.5546875" style="1" customWidth="1"/>
    <col min="5615" max="5615" width="17.88671875" style="1" customWidth="1"/>
    <col min="5616" max="5616" width="17.33203125" style="1" customWidth="1"/>
    <col min="5617" max="5619" width="13.44140625" style="1" bestFit="1" customWidth="1"/>
    <col min="5620" max="5620" width="13.44140625" style="1" customWidth="1"/>
    <col min="5621" max="5622" width="13.88671875" style="1" customWidth="1"/>
    <col min="5623" max="5625" width="13.44140625" style="1" bestFit="1" customWidth="1"/>
    <col min="5626" max="5626" width="13" style="1" customWidth="1"/>
    <col min="5627" max="5627" width="13.33203125" style="1" customWidth="1"/>
    <col min="5628" max="5628" width="14.88671875" style="1" customWidth="1"/>
    <col min="5629" max="5631" width="13.44140625" style="1"/>
    <col min="5632" max="5632" width="55" style="1" bestFit="1" customWidth="1"/>
    <col min="5633" max="5637" width="10.88671875" style="1" bestFit="1" customWidth="1"/>
    <col min="5638" max="5656" width="12.33203125" style="1" bestFit="1" customWidth="1"/>
    <col min="5657" max="5658" width="10.88671875" style="1" bestFit="1" customWidth="1"/>
    <col min="5659" max="5659" width="12.33203125" style="1" bestFit="1" customWidth="1"/>
    <col min="5660" max="5660" width="10.88671875" style="1" bestFit="1" customWidth="1"/>
    <col min="5661" max="5661" width="12.33203125" style="1" customWidth="1"/>
    <col min="5662" max="5662" width="12.33203125" style="1" bestFit="1" customWidth="1"/>
    <col min="5663" max="5663" width="10.88671875" style="1" bestFit="1" customWidth="1"/>
    <col min="5664" max="5664" width="12.33203125" style="1" bestFit="1" customWidth="1"/>
    <col min="5665" max="5683" width="10.88671875" style="1" bestFit="1" customWidth="1"/>
    <col min="5684" max="5700" width="12.33203125" style="1" bestFit="1" customWidth="1"/>
    <col min="5701" max="5702" width="10.88671875" style="1" bestFit="1" customWidth="1"/>
    <col min="5703" max="5703" width="12.33203125" style="1" bestFit="1" customWidth="1"/>
    <col min="5704" max="5708" width="10.88671875" style="1" bestFit="1" customWidth="1"/>
    <col min="5709" max="5716" width="12.33203125" style="1" bestFit="1" customWidth="1"/>
    <col min="5717" max="5717" width="10.88671875" style="1" bestFit="1" customWidth="1"/>
    <col min="5718" max="5719" width="12.33203125" style="1" bestFit="1" customWidth="1"/>
    <col min="5720" max="5720" width="10.88671875" style="1" bestFit="1" customWidth="1"/>
    <col min="5721" max="5723" width="12.33203125" style="1" bestFit="1" customWidth="1"/>
    <col min="5724" max="5725" width="10.88671875" style="1" customWidth="1"/>
    <col min="5726" max="5726" width="10.88671875" style="1" bestFit="1" customWidth="1"/>
    <col min="5727" max="5727" width="10.88671875" style="1" customWidth="1"/>
    <col min="5728" max="5735" width="10.88671875" style="1" bestFit="1" customWidth="1"/>
    <col min="5736" max="5736" width="12.33203125" style="1" bestFit="1" customWidth="1"/>
    <col min="5737" max="5737" width="10.88671875" style="1" bestFit="1" customWidth="1"/>
    <col min="5738" max="5753" width="12.33203125" style="1" bestFit="1" customWidth="1"/>
    <col min="5754" max="5754" width="10.88671875" style="1" bestFit="1" customWidth="1"/>
    <col min="5755" max="5757" width="12.33203125" style="1" bestFit="1" customWidth="1"/>
    <col min="5758" max="5758" width="13.44140625" style="1" bestFit="1" customWidth="1"/>
    <col min="5759" max="5760" width="12.33203125" style="1" bestFit="1" customWidth="1"/>
    <col min="5761" max="5762" width="13.44140625" style="1" bestFit="1" customWidth="1"/>
    <col min="5763" max="5778" width="12.33203125" style="1" bestFit="1" customWidth="1"/>
    <col min="5779" max="5779" width="13.44140625" style="1" bestFit="1" customWidth="1"/>
    <col min="5780" max="5780" width="12.33203125" style="1" bestFit="1" customWidth="1"/>
    <col min="5781" max="5781" width="13.44140625" style="1" bestFit="1" customWidth="1"/>
    <col min="5782" max="5783" width="12.33203125" style="1" bestFit="1" customWidth="1"/>
    <col min="5784" max="5787" width="13.44140625" style="1" bestFit="1" customWidth="1"/>
    <col min="5788" max="5790" width="12.33203125" style="1" bestFit="1" customWidth="1"/>
    <col min="5791" max="5791" width="13.44140625" style="1" bestFit="1" customWidth="1"/>
    <col min="5792" max="5794" width="12.33203125" style="1" bestFit="1" customWidth="1"/>
    <col min="5795" max="5797" width="13.5546875" style="1" bestFit="1" customWidth="1"/>
    <col min="5798" max="5799" width="13.44140625" style="1" bestFit="1" customWidth="1"/>
    <col min="5800" max="5800" width="13.5546875" style="1" bestFit="1" customWidth="1"/>
    <col min="5801" max="5802" width="13.44140625" style="1" bestFit="1" customWidth="1"/>
    <col min="5803" max="5804" width="12.33203125" style="1" bestFit="1" customWidth="1"/>
    <col min="5805" max="5805" width="13.44140625" style="1" bestFit="1" customWidth="1"/>
    <col min="5806" max="5809" width="12.33203125" style="1" bestFit="1" customWidth="1"/>
    <col min="5810" max="5810" width="14.33203125" style="1" customWidth="1"/>
    <col min="5811" max="5811" width="13.88671875" style="1" customWidth="1"/>
    <col min="5812" max="5812" width="13.33203125" style="1" customWidth="1"/>
    <col min="5813" max="5815" width="14.5546875" style="1" customWidth="1"/>
    <col min="5816" max="5816" width="17.33203125" style="1" customWidth="1"/>
    <col min="5817" max="5817" width="14.5546875" style="1" customWidth="1"/>
    <col min="5818" max="5818" width="15.5546875" style="1" customWidth="1"/>
    <col min="5819" max="5819" width="13.44140625" style="1" bestFit="1" customWidth="1"/>
    <col min="5820" max="5820" width="12.33203125" style="1" bestFit="1" customWidth="1"/>
    <col min="5821" max="5821" width="12.88671875" style="1" customWidth="1"/>
    <col min="5822" max="5822" width="14" style="1" customWidth="1"/>
    <col min="5823" max="5823" width="13.33203125" style="1" customWidth="1"/>
    <col min="5824" max="5824" width="13.44140625" style="1" customWidth="1"/>
    <col min="5825" max="5825" width="12.44140625" style="1" customWidth="1"/>
    <col min="5826" max="5826" width="12.109375" style="1" customWidth="1"/>
    <col min="5827" max="5827" width="13.33203125" style="1" customWidth="1"/>
    <col min="5828" max="5828" width="12.33203125" style="1" bestFit="1" customWidth="1"/>
    <col min="5829" max="5829" width="13.5546875" style="1" customWidth="1"/>
    <col min="5830" max="5830" width="13.44140625" style="1" bestFit="1" customWidth="1"/>
    <col min="5831" max="5832" width="12.33203125" style="1" bestFit="1" customWidth="1"/>
    <col min="5833" max="5836" width="13.44140625" style="1" bestFit="1" customWidth="1"/>
    <col min="5837" max="5837" width="15.44140625" style="1" customWidth="1"/>
    <col min="5838" max="5838" width="14.6640625" style="1" customWidth="1"/>
    <col min="5839" max="5839" width="15.109375" style="1" customWidth="1"/>
    <col min="5840" max="5840" width="15" style="1" customWidth="1"/>
    <col min="5841" max="5841" width="14.109375" style="1" customWidth="1"/>
    <col min="5842" max="5842" width="15.44140625" style="1" customWidth="1"/>
    <col min="5843" max="5843" width="17.44140625" style="1" customWidth="1"/>
    <col min="5844" max="5844" width="16.33203125" style="1" customWidth="1"/>
    <col min="5845" max="5847" width="15.5546875" style="1" customWidth="1"/>
    <col min="5848" max="5850" width="13.44140625" style="1" bestFit="1" customWidth="1"/>
    <col min="5851" max="5851" width="15.109375" style="1" customWidth="1"/>
    <col min="5852" max="5852" width="14.109375" style="1" customWidth="1"/>
    <col min="5853" max="5853" width="14.33203125" style="1" customWidth="1"/>
    <col min="5854" max="5854" width="14.88671875" style="1" customWidth="1"/>
    <col min="5855" max="5855" width="14.5546875" style="1" customWidth="1"/>
    <col min="5856" max="5856" width="16.44140625" style="1" customWidth="1"/>
    <col min="5857" max="5857" width="16.33203125" style="1" customWidth="1"/>
    <col min="5858" max="5858" width="15.88671875" style="1" customWidth="1"/>
    <col min="5859" max="5859" width="16.33203125" style="1" customWidth="1"/>
    <col min="5860" max="5860" width="17" style="1" customWidth="1"/>
    <col min="5861" max="5861" width="16.33203125" style="1" customWidth="1"/>
    <col min="5862" max="5862" width="15.109375" style="1" customWidth="1"/>
    <col min="5863" max="5863" width="14.88671875" style="1" customWidth="1"/>
    <col min="5864" max="5865" width="13.6640625" style="1" customWidth="1"/>
    <col min="5866" max="5866" width="14.109375" style="1" customWidth="1"/>
    <col min="5867" max="5867" width="15.33203125" style="1" customWidth="1"/>
    <col min="5868" max="5869" width="15.5546875" style="1" customWidth="1"/>
    <col min="5870" max="5870" width="17.5546875" style="1" customWidth="1"/>
    <col min="5871" max="5871" width="17.88671875" style="1" customWidth="1"/>
    <col min="5872" max="5872" width="17.33203125" style="1" customWidth="1"/>
    <col min="5873" max="5875" width="13.44140625" style="1" bestFit="1" customWidth="1"/>
    <col min="5876" max="5876" width="13.44140625" style="1" customWidth="1"/>
    <col min="5877" max="5878" width="13.88671875" style="1" customWidth="1"/>
    <col min="5879" max="5881" width="13.44140625" style="1" bestFit="1" customWidth="1"/>
    <col min="5882" max="5882" width="13" style="1" customWidth="1"/>
    <col min="5883" max="5883" width="13.33203125" style="1" customWidth="1"/>
    <col min="5884" max="5884" width="14.88671875" style="1" customWidth="1"/>
    <col min="5885" max="5887" width="13.44140625" style="1"/>
    <col min="5888" max="5888" width="55" style="1" bestFit="1" customWidth="1"/>
    <col min="5889" max="5893" width="10.88671875" style="1" bestFit="1" customWidth="1"/>
    <col min="5894" max="5912" width="12.33203125" style="1" bestFit="1" customWidth="1"/>
    <col min="5913" max="5914" width="10.88671875" style="1" bestFit="1" customWidth="1"/>
    <col min="5915" max="5915" width="12.33203125" style="1" bestFit="1" customWidth="1"/>
    <col min="5916" max="5916" width="10.88671875" style="1" bestFit="1" customWidth="1"/>
    <col min="5917" max="5917" width="12.33203125" style="1" customWidth="1"/>
    <col min="5918" max="5918" width="12.33203125" style="1" bestFit="1" customWidth="1"/>
    <col min="5919" max="5919" width="10.88671875" style="1" bestFit="1" customWidth="1"/>
    <col min="5920" max="5920" width="12.33203125" style="1" bestFit="1" customWidth="1"/>
    <col min="5921" max="5939" width="10.88671875" style="1" bestFit="1" customWidth="1"/>
    <col min="5940" max="5956" width="12.33203125" style="1" bestFit="1" customWidth="1"/>
    <col min="5957" max="5958" width="10.88671875" style="1" bestFit="1" customWidth="1"/>
    <col min="5959" max="5959" width="12.33203125" style="1" bestFit="1" customWidth="1"/>
    <col min="5960" max="5964" width="10.88671875" style="1" bestFit="1" customWidth="1"/>
    <col min="5965" max="5972" width="12.33203125" style="1" bestFit="1" customWidth="1"/>
    <col min="5973" max="5973" width="10.88671875" style="1" bestFit="1" customWidth="1"/>
    <col min="5974" max="5975" width="12.33203125" style="1" bestFit="1" customWidth="1"/>
    <col min="5976" max="5976" width="10.88671875" style="1" bestFit="1" customWidth="1"/>
    <col min="5977" max="5979" width="12.33203125" style="1" bestFit="1" customWidth="1"/>
    <col min="5980" max="5981" width="10.88671875" style="1" customWidth="1"/>
    <col min="5982" max="5982" width="10.88671875" style="1" bestFit="1" customWidth="1"/>
    <col min="5983" max="5983" width="10.88671875" style="1" customWidth="1"/>
    <col min="5984" max="5991" width="10.88671875" style="1" bestFit="1" customWidth="1"/>
    <col min="5992" max="5992" width="12.33203125" style="1" bestFit="1" customWidth="1"/>
    <col min="5993" max="5993" width="10.88671875" style="1" bestFit="1" customWidth="1"/>
    <col min="5994" max="6009" width="12.33203125" style="1" bestFit="1" customWidth="1"/>
    <col min="6010" max="6010" width="10.88671875" style="1" bestFit="1" customWidth="1"/>
    <col min="6011" max="6013" width="12.33203125" style="1" bestFit="1" customWidth="1"/>
    <col min="6014" max="6014" width="13.44140625" style="1" bestFit="1" customWidth="1"/>
    <col min="6015" max="6016" width="12.33203125" style="1" bestFit="1" customWidth="1"/>
    <col min="6017" max="6018" width="13.44140625" style="1" bestFit="1" customWidth="1"/>
    <col min="6019" max="6034" width="12.33203125" style="1" bestFit="1" customWidth="1"/>
    <col min="6035" max="6035" width="13.44140625" style="1" bestFit="1" customWidth="1"/>
    <col min="6036" max="6036" width="12.33203125" style="1" bestFit="1" customWidth="1"/>
    <col min="6037" max="6037" width="13.44140625" style="1" bestFit="1" customWidth="1"/>
    <col min="6038" max="6039" width="12.33203125" style="1" bestFit="1" customWidth="1"/>
    <col min="6040" max="6043" width="13.44140625" style="1" bestFit="1" customWidth="1"/>
    <col min="6044" max="6046" width="12.33203125" style="1" bestFit="1" customWidth="1"/>
    <col min="6047" max="6047" width="13.44140625" style="1" bestFit="1" customWidth="1"/>
    <col min="6048" max="6050" width="12.33203125" style="1" bestFit="1" customWidth="1"/>
    <col min="6051" max="6053" width="13.5546875" style="1" bestFit="1" customWidth="1"/>
    <col min="6054" max="6055" width="13.44140625" style="1" bestFit="1" customWidth="1"/>
    <col min="6056" max="6056" width="13.5546875" style="1" bestFit="1" customWidth="1"/>
    <col min="6057" max="6058" width="13.44140625" style="1" bestFit="1" customWidth="1"/>
    <col min="6059" max="6060" width="12.33203125" style="1" bestFit="1" customWidth="1"/>
    <col min="6061" max="6061" width="13.44140625" style="1" bestFit="1" customWidth="1"/>
    <col min="6062" max="6065" width="12.33203125" style="1" bestFit="1" customWidth="1"/>
    <col min="6066" max="6066" width="14.33203125" style="1" customWidth="1"/>
    <col min="6067" max="6067" width="13.88671875" style="1" customWidth="1"/>
    <col min="6068" max="6068" width="13.33203125" style="1" customWidth="1"/>
    <col min="6069" max="6071" width="14.5546875" style="1" customWidth="1"/>
    <col min="6072" max="6072" width="17.33203125" style="1" customWidth="1"/>
    <col min="6073" max="6073" width="14.5546875" style="1" customWidth="1"/>
    <col min="6074" max="6074" width="15.5546875" style="1" customWidth="1"/>
    <col min="6075" max="6075" width="13.44140625" style="1" bestFit="1" customWidth="1"/>
    <col min="6076" max="6076" width="12.33203125" style="1" bestFit="1" customWidth="1"/>
    <col min="6077" max="6077" width="12.88671875" style="1" customWidth="1"/>
    <col min="6078" max="6078" width="14" style="1" customWidth="1"/>
    <col min="6079" max="6079" width="13.33203125" style="1" customWidth="1"/>
    <col min="6080" max="6080" width="13.44140625" style="1" customWidth="1"/>
    <col min="6081" max="6081" width="12.44140625" style="1" customWidth="1"/>
    <col min="6082" max="6082" width="12.109375" style="1" customWidth="1"/>
    <col min="6083" max="6083" width="13.33203125" style="1" customWidth="1"/>
    <col min="6084" max="6084" width="12.33203125" style="1" bestFit="1" customWidth="1"/>
    <col min="6085" max="6085" width="13.5546875" style="1" customWidth="1"/>
    <col min="6086" max="6086" width="13.44140625" style="1" bestFit="1" customWidth="1"/>
    <col min="6087" max="6088" width="12.33203125" style="1" bestFit="1" customWidth="1"/>
    <col min="6089" max="6092" width="13.44140625" style="1" bestFit="1" customWidth="1"/>
    <col min="6093" max="6093" width="15.44140625" style="1" customWidth="1"/>
    <col min="6094" max="6094" width="14.6640625" style="1" customWidth="1"/>
    <col min="6095" max="6095" width="15.109375" style="1" customWidth="1"/>
    <col min="6096" max="6096" width="15" style="1" customWidth="1"/>
    <col min="6097" max="6097" width="14.109375" style="1" customWidth="1"/>
    <col min="6098" max="6098" width="15.44140625" style="1" customWidth="1"/>
    <col min="6099" max="6099" width="17.44140625" style="1" customWidth="1"/>
    <col min="6100" max="6100" width="16.33203125" style="1" customWidth="1"/>
    <col min="6101" max="6103" width="15.5546875" style="1" customWidth="1"/>
    <col min="6104" max="6106" width="13.44140625" style="1" bestFit="1" customWidth="1"/>
    <col min="6107" max="6107" width="15.109375" style="1" customWidth="1"/>
    <col min="6108" max="6108" width="14.109375" style="1" customWidth="1"/>
    <col min="6109" max="6109" width="14.33203125" style="1" customWidth="1"/>
    <col min="6110" max="6110" width="14.88671875" style="1" customWidth="1"/>
    <col min="6111" max="6111" width="14.5546875" style="1" customWidth="1"/>
    <col min="6112" max="6112" width="16.44140625" style="1" customWidth="1"/>
    <col min="6113" max="6113" width="16.33203125" style="1" customWidth="1"/>
    <col min="6114" max="6114" width="15.88671875" style="1" customWidth="1"/>
    <col min="6115" max="6115" width="16.33203125" style="1" customWidth="1"/>
    <col min="6116" max="6116" width="17" style="1" customWidth="1"/>
    <col min="6117" max="6117" width="16.33203125" style="1" customWidth="1"/>
    <col min="6118" max="6118" width="15.109375" style="1" customWidth="1"/>
    <col min="6119" max="6119" width="14.88671875" style="1" customWidth="1"/>
    <col min="6120" max="6121" width="13.6640625" style="1" customWidth="1"/>
    <col min="6122" max="6122" width="14.109375" style="1" customWidth="1"/>
    <col min="6123" max="6123" width="15.33203125" style="1" customWidth="1"/>
    <col min="6124" max="6125" width="15.5546875" style="1" customWidth="1"/>
    <col min="6126" max="6126" width="17.5546875" style="1" customWidth="1"/>
    <col min="6127" max="6127" width="17.88671875" style="1" customWidth="1"/>
    <col min="6128" max="6128" width="17.33203125" style="1" customWidth="1"/>
    <col min="6129" max="6131" width="13.44140625" style="1" bestFit="1" customWidth="1"/>
    <col min="6132" max="6132" width="13.44140625" style="1" customWidth="1"/>
    <col min="6133" max="6134" width="13.88671875" style="1" customWidth="1"/>
    <col min="6135" max="6137" width="13.44140625" style="1" bestFit="1" customWidth="1"/>
    <col min="6138" max="6138" width="13" style="1" customWidth="1"/>
    <col min="6139" max="6139" width="13.33203125" style="1" customWidth="1"/>
    <col min="6140" max="6140" width="14.88671875" style="1" customWidth="1"/>
    <col min="6141" max="6143" width="13.44140625" style="1"/>
    <col min="6144" max="6144" width="55" style="1" bestFit="1" customWidth="1"/>
    <col min="6145" max="6149" width="10.88671875" style="1" bestFit="1" customWidth="1"/>
    <col min="6150" max="6168" width="12.33203125" style="1" bestFit="1" customWidth="1"/>
    <col min="6169" max="6170" width="10.88671875" style="1" bestFit="1" customWidth="1"/>
    <col min="6171" max="6171" width="12.33203125" style="1" bestFit="1" customWidth="1"/>
    <col min="6172" max="6172" width="10.88671875" style="1" bestFit="1" customWidth="1"/>
    <col min="6173" max="6173" width="12.33203125" style="1" customWidth="1"/>
    <col min="6174" max="6174" width="12.33203125" style="1" bestFit="1" customWidth="1"/>
    <col min="6175" max="6175" width="10.88671875" style="1" bestFit="1" customWidth="1"/>
    <col min="6176" max="6176" width="12.33203125" style="1" bestFit="1" customWidth="1"/>
    <col min="6177" max="6195" width="10.88671875" style="1" bestFit="1" customWidth="1"/>
    <col min="6196" max="6212" width="12.33203125" style="1" bestFit="1" customWidth="1"/>
    <col min="6213" max="6214" width="10.88671875" style="1" bestFit="1" customWidth="1"/>
    <col min="6215" max="6215" width="12.33203125" style="1" bestFit="1" customWidth="1"/>
    <col min="6216" max="6220" width="10.88671875" style="1" bestFit="1" customWidth="1"/>
    <col min="6221" max="6228" width="12.33203125" style="1" bestFit="1" customWidth="1"/>
    <col min="6229" max="6229" width="10.88671875" style="1" bestFit="1" customWidth="1"/>
    <col min="6230" max="6231" width="12.33203125" style="1" bestFit="1" customWidth="1"/>
    <col min="6232" max="6232" width="10.88671875" style="1" bestFit="1" customWidth="1"/>
    <col min="6233" max="6235" width="12.33203125" style="1" bestFit="1" customWidth="1"/>
    <col min="6236" max="6237" width="10.88671875" style="1" customWidth="1"/>
    <col min="6238" max="6238" width="10.88671875" style="1" bestFit="1" customWidth="1"/>
    <col min="6239" max="6239" width="10.88671875" style="1" customWidth="1"/>
    <col min="6240" max="6247" width="10.88671875" style="1" bestFit="1" customWidth="1"/>
    <col min="6248" max="6248" width="12.33203125" style="1" bestFit="1" customWidth="1"/>
    <col min="6249" max="6249" width="10.88671875" style="1" bestFit="1" customWidth="1"/>
    <col min="6250" max="6265" width="12.33203125" style="1" bestFit="1" customWidth="1"/>
    <col min="6266" max="6266" width="10.88671875" style="1" bestFit="1" customWidth="1"/>
    <col min="6267" max="6269" width="12.33203125" style="1" bestFit="1" customWidth="1"/>
    <col min="6270" max="6270" width="13.44140625" style="1" bestFit="1" customWidth="1"/>
    <col min="6271" max="6272" width="12.33203125" style="1" bestFit="1" customWidth="1"/>
    <col min="6273" max="6274" width="13.44140625" style="1" bestFit="1" customWidth="1"/>
    <col min="6275" max="6290" width="12.33203125" style="1" bestFit="1" customWidth="1"/>
    <col min="6291" max="6291" width="13.44140625" style="1" bestFit="1" customWidth="1"/>
    <col min="6292" max="6292" width="12.33203125" style="1" bestFit="1" customWidth="1"/>
    <col min="6293" max="6293" width="13.44140625" style="1" bestFit="1" customWidth="1"/>
    <col min="6294" max="6295" width="12.33203125" style="1" bestFit="1" customWidth="1"/>
    <col min="6296" max="6299" width="13.44140625" style="1" bestFit="1" customWidth="1"/>
    <col min="6300" max="6302" width="12.33203125" style="1" bestFit="1" customWidth="1"/>
    <col min="6303" max="6303" width="13.44140625" style="1" bestFit="1" customWidth="1"/>
    <col min="6304" max="6306" width="12.33203125" style="1" bestFit="1" customWidth="1"/>
    <col min="6307" max="6309" width="13.5546875" style="1" bestFit="1" customWidth="1"/>
    <col min="6310" max="6311" width="13.44140625" style="1" bestFit="1" customWidth="1"/>
    <col min="6312" max="6312" width="13.5546875" style="1" bestFit="1" customWidth="1"/>
    <col min="6313" max="6314" width="13.44140625" style="1" bestFit="1" customWidth="1"/>
    <col min="6315" max="6316" width="12.33203125" style="1" bestFit="1" customWidth="1"/>
    <col min="6317" max="6317" width="13.44140625" style="1" bestFit="1" customWidth="1"/>
    <col min="6318" max="6321" width="12.33203125" style="1" bestFit="1" customWidth="1"/>
    <col min="6322" max="6322" width="14.33203125" style="1" customWidth="1"/>
    <col min="6323" max="6323" width="13.88671875" style="1" customWidth="1"/>
    <col min="6324" max="6324" width="13.33203125" style="1" customWidth="1"/>
    <col min="6325" max="6327" width="14.5546875" style="1" customWidth="1"/>
    <col min="6328" max="6328" width="17.33203125" style="1" customWidth="1"/>
    <col min="6329" max="6329" width="14.5546875" style="1" customWidth="1"/>
    <col min="6330" max="6330" width="15.5546875" style="1" customWidth="1"/>
    <col min="6331" max="6331" width="13.44140625" style="1" bestFit="1" customWidth="1"/>
    <col min="6332" max="6332" width="12.33203125" style="1" bestFit="1" customWidth="1"/>
    <col min="6333" max="6333" width="12.88671875" style="1" customWidth="1"/>
    <col min="6334" max="6334" width="14" style="1" customWidth="1"/>
    <col min="6335" max="6335" width="13.33203125" style="1" customWidth="1"/>
    <col min="6336" max="6336" width="13.44140625" style="1" customWidth="1"/>
    <col min="6337" max="6337" width="12.44140625" style="1" customWidth="1"/>
    <col min="6338" max="6338" width="12.109375" style="1" customWidth="1"/>
    <col min="6339" max="6339" width="13.33203125" style="1" customWidth="1"/>
    <col min="6340" max="6340" width="12.33203125" style="1" bestFit="1" customWidth="1"/>
    <col min="6341" max="6341" width="13.5546875" style="1" customWidth="1"/>
    <col min="6342" max="6342" width="13.44140625" style="1" bestFit="1" customWidth="1"/>
    <col min="6343" max="6344" width="12.33203125" style="1" bestFit="1" customWidth="1"/>
    <col min="6345" max="6348" width="13.44140625" style="1" bestFit="1" customWidth="1"/>
    <col min="6349" max="6349" width="15.44140625" style="1" customWidth="1"/>
    <col min="6350" max="6350" width="14.6640625" style="1" customWidth="1"/>
    <col min="6351" max="6351" width="15.109375" style="1" customWidth="1"/>
    <col min="6352" max="6352" width="15" style="1" customWidth="1"/>
    <col min="6353" max="6353" width="14.109375" style="1" customWidth="1"/>
    <col min="6354" max="6354" width="15.44140625" style="1" customWidth="1"/>
    <col min="6355" max="6355" width="17.44140625" style="1" customWidth="1"/>
    <col min="6356" max="6356" width="16.33203125" style="1" customWidth="1"/>
    <col min="6357" max="6359" width="15.5546875" style="1" customWidth="1"/>
    <col min="6360" max="6362" width="13.44140625" style="1" bestFit="1" customWidth="1"/>
    <col min="6363" max="6363" width="15.109375" style="1" customWidth="1"/>
    <col min="6364" max="6364" width="14.109375" style="1" customWidth="1"/>
    <col min="6365" max="6365" width="14.33203125" style="1" customWidth="1"/>
    <col min="6366" max="6366" width="14.88671875" style="1" customWidth="1"/>
    <col min="6367" max="6367" width="14.5546875" style="1" customWidth="1"/>
    <col min="6368" max="6368" width="16.44140625" style="1" customWidth="1"/>
    <col min="6369" max="6369" width="16.33203125" style="1" customWidth="1"/>
    <col min="6370" max="6370" width="15.88671875" style="1" customWidth="1"/>
    <col min="6371" max="6371" width="16.33203125" style="1" customWidth="1"/>
    <col min="6372" max="6372" width="17" style="1" customWidth="1"/>
    <col min="6373" max="6373" width="16.33203125" style="1" customWidth="1"/>
    <col min="6374" max="6374" width="15.109375" style="1" customWidth="1"/>
    <col min="6375" max="6375" width="14.88671875" style="1" customWidth="1"/>
    <col min="6376" max="6377" width="13.6640625" style="1" customWidth="1"/>
    <col min="6378" max="6378" width="14.109375" style="1" customWidth="1"/>
    <col min="6379" max="6379" width="15.33203125" style="1" customWidth="1"/>
    <col min="6380" max="6381" width="15.5546875" style="1" customWidth="1"/>
    <col min="6382" max="6382" width="17.5546875" style="1" customWidth="1"/>
    <col min="6383" max="6383" width="17.88671875" style="1" customWidth="1"/>
    <col min="6384" max="6384" width="17.33203125" style="1" customWidth="1"/>
    <col min="6385" max="6387" width="13.44140625" style="1" bestFit="1" customWidth="1"/>
    <col min="6388" max="6388" width="13.44140625" style="1" customWidth="1"/>
    <col min="6389" max="6390" width="13.88671875" style="1" customWidth="1"/>
    <col min="6391" max="6393" width="13.44140625" style="1" bestFit="1" customWidth="1"/>
    <col min="6394" max="6394" width="13" style="1" customWidth="1"/>
    <col min="6395" max="6395" width="13.33203125" style="1" customWidth="1"/>
    <col min="6396" max="6396" width="14.88671875" style="1" customWidth="1"/>
    <col min="6397" max="6399" width="13.44140625" style="1"/>
    <col min="6400" max="6400" width="55" style="1" bestFit="1" customWidth="1"/>
    <col min="6401" max="6405" width="10.88671875" style="1" bestFit="1" customWidth="1"/>
    <col min="6406" max="6424" width="12.33203125" style="1" bestFit="1" customWidth="1"/>
    <col min="6425" max="6426" width="10.88671875" style="1" bestFit="1" customWidth="1"/>
    <col min="6427" max="6427" width="12.33203125" style="1" bestFit="1" customWidth="1"/>
    <col min="6428" max="6428" width="10.88671875" style="1" bestFit="1" customWidth="1"/>
    <col min="6429" max="6429" width="12.33203125" style="1" customWidth="1"/>
    <col min="6430" max="6430" width="12.33203125" style="1" bestFit="1" customWidth="1"/>
    <col min="6431" max="6431" width="10.88671875" style="1" bestFit="1" customWidth="1"/>
    <col min="6432" max="6432" width="12.33203125" style="1" bestFit="1" customWidth="1"/>
    <col min="6433" max="6451" width="10.88671875" style="1" bestFit="1" customWidth="1"/>
    <col min="6452" max="6468" width="12.33203125" style="1" bestFit="1" customWidth="1"/>
    <col min="6469" max="6470" width="10.88671875" style="1" bestFit="1" customWidth="1"/>
    <col min="6471" max="6471" width="12.33203125" style="1" bestFit="1" customWidth="1"/>
    <col min="6472" max="6476" width="10.88671875" style="1" bestFit="1" customWidth="1"/>
    <col min="6477" max="6484" width="12.33203125" style="1" bestFit="1" customWidth="1"/>
    <col min="6485" max="6485" width="10.88671875" style="1" bestFit="1" customWidth="1"/>
    <col min="6486" max="6487" width="12.33203125" style="1" bestFit="1" customWidth="1"/>
    <col min="6488" max="6488" width="10.88671875" style="1" bestFit="1" customWidth="1"/>
    <col min="6489" max="6491" width="12.33203125" style="1" bestFit="1" customWidth="1"/>
    <col min="6492" max="6493" width="10.88671875" style="1" customWidth="1"/>
    <col min="6494" max="6494" width="10.88671875" style="1" bestFit="1" customWidth="1"/>
    <col min="6495" max="6495" width="10.88671875" style="1" customWidth="1"/>
    <col min="6496" max="6503" width="10.88671875" style="1" bestFit="1" customWidth="1"/>
    <col min="6504" max="6504" width="12.33203125" style="1" bestFit="1" customWidth="1"/>
    <col min="6505" max="6505" width="10.88671875" style="1" bestFit="1" customWidth="1"/>
    <col min="6506" max="6521" width="12.33203125" style="1" bestFit="1" customWidth="1"/>
    <col min="6522" max="6522" width="10.88671875" style="1" bestFit="1" customWidth="1"/>
    <col min="6523" max="6525" width="12.33203125" style="1" bestFit="1" customWidth="1"/>
    <col min="6526" max="6526" width="13.44140625" style="1" bestFit="1" customWidth="1"/>
    <col min="6527" max="6528" width="12.33203125" style="1" bestFit="1" customWidth="1"/>
    <col min="6529" max="6530" width="13.44140625" style="1" bestFit="1" customWidth="1"/>
    <col min="6531" max="6546" width="12.33203125" style="1" bestFit="1" customWidth="1"/>
    <col min="6547" max="6547" width="13.44140625" style="1" bestFit="1" customWidth="1"/>
    <col min="6548" max="6548" width="12.33203125" style="1" bestFit="1" customWidth="1"/>
    <col min="6549" max="6549" width="13.44140625" style="1" bestFit="1" customWidth="1"/>
    <col min="6550" max="6551" width="12.33203125" style="1" bestFit="1" customWidth="1"/>
    <col min="6552" max="6555" width="13.44140625" style="1" bestFit="1" customWidth="1"/>
    <col min="6556" max="6558" width="12.33203125" style="1" bestFit="1" customWidth="1"/>
    <col min="6559" max="6559" width="13.44140625" style="1" bestFit="1" customWidth="1"/>
    <col min="6560" max="6562" width="12.33203125" style="1" bestFit="1" customWidth="1"/>
    <col min="6563" max="6565" width="13.5546875" style="1" bestFit="1" customWidth="1"/>
    <col min="6566" max="6567" width="13.44140625" style="1" bestFit="1" customWidth="1"/>
    <col min="6568" max="6568" width="13.5546875" style="1" bestFit="1" customWidth="1"/>
    <col min="6569" max="6570" width="13.44140625" style="1" bestFit="1" customWidth="1"/>
    <col min="6571" max="6572" width="12.33203125" style="1" bestFit="1" customWidth="1"/>
    <col min="6573" max="6573" width="13.44140625" style="1" bestFit="1" customWidth="1"/>
    <col min="6574" max="6577" width="12.33203125" style="1" bestFit="1" customWidth="1"/>
    <col min="6578" max="6578" width="14.33203125" style="1" customWidth="1"/>
    <col min="6579" max="6579" width="13.88671875" style="1" customWidth="1"/>
    <col min="6580" max="6580" width="13.33203125" style="1" customWidth="1"/>
    <col min="6581" max="6583" width="14.5546875" style="1" customWidth="1"/>
    <col min="6584" max="6584" width="17.33203125" style="1" customWidth="1"/>
    <col min="6585" max="6585" width="14.5546875" style="1" customWidth="1"/>
    <col min="6586" max="6586" width="15.5546875" style="1" customWidth="1"/>
    <col min="6587" max="6587" width="13.44140625" style="1" bestFit="1" customWidth="1"/>
    <col min="6588" max="6588" width="12.33203125" style="1" bestFit="1" customWidth="1"/>
    <col min="6589" max="6589" width="12.88671875" style="1" customWidth="1"/>
    <col min="6590" max="6590" width="14" style="1" customWidth="1"/>
    <col min="6591" max="6591" width="13.33203125" style="1" customWidth="1"/>
    <col min="6592" max="6592" width="13.44140625" style="1" customWidth="1"/>
    <col min="6593" max="6593" width="12.44140625" style="1" customWidth="1"/>
    <col min="6594" max="6594" width="12.109375" style="1" customWidth="1"/>
    <col min="6595" max="6595" width="13.33203125" style="1" customWidth="1"/>
    <col min="6596" max="6596" width="12.33203125" style="1" bestFit="1" customWidth="1"/>
    <col min="6597" max="6597" width="13.5546875" style="1" customWidth="1"/>
    <col min="6598" max="6598" width="13.44140625" style="1" bestFit="1" customWidth="1"/>
    <col min="6599" max="6600" width="12.33203125" style="1" bestFit="1" customWidth="1"/>
    <col min="6601" max="6604" width="13.44140625" style="1" bestFit="1" customWidth="1"/>
    <col min="6605" max="6605" width="15.44140625" style="1" customWidth="1"/>
    <col min="6606" max="6606" width="14.6640625" style="1" customWidth="1"/>
    <col min="6607" max="6607" width="15.109375" style="1" customWidth="1"/>
    <col min="6608" max="6608" width="15" style="1" customWidth="1"/>
    <col min="6609" max="6609" width="14.109375" style="1" customWidth="1"/>
    <col min="6610" max="6610" width="15.44140625" style="1" customWidth="1"/>
    <col min="6611" max="6611" width="17.44140625" style="1" customWidth="1"/>
    <col min="6612" max="6612" width="16.33203125" style="1" customWidth="1"/>
    <col min="6613" max="6615" width="15.5546875" style="1" customWidth="1"/>
    <col min="6616" max="6618" width="13.44140625" style="1" bestFit="1" customWidth="1"/>
    <col min="6619" max="6619" width="15.109375" style="1" customWidth="1"/>
    <col min="6620" max="6620" width="14.109375" style="1" customWidth="1"/>
    <col min="6621" max="6621" width="14.33203125" style="1" customWidth="1"/>
    <col min="6622" max="6622" width="14.88671875" style="1" customWidth="1"/>
    <col min="6623" max="6623" width="14.5546875" style="1" customWidth="1"/>
    <col min="6624" max="6624" width="16.44140625" style="1" customWidth="1"/>
    <col min="6625" max="6625" width="16.33203125" style="1" customWidth="1"/>
    <col min="6626" max="6626" width="15.88671875" style="1" customWidth="1"/>
    <col min="6627" max="6627" width="16.33203125" style="1" customWidth="1"/>
    <col min="6628" max="6628" width="17" style="1" customWidth="1"/>
    <col min="6629" max="6629" width="16.33203125" style="1" customWidth="1"/>
    <col min="6630" max="6630" width="15.109375" style="1" customWidth="1"/>
    <col min="6631" max="6631" width="14.88671875" style="1" customWidth="1"/>
    <col min="6632" max="6633" width="13.6640625" style="1" customWidth="1"/>
    <col min="6634" max="6634" width="14.109375" style="1" customWidth="1"/>
    <col min="6635" max="6635" width="15.33203125" style="1" customWidth="1"/>
    <col min="6636" max="6637" width="15.5546875" style="1" customWidth="1"/>
    <col min="6638" max="6638" width="17.5546875" style="1" customWidth="1"/>
    <col min="6639" max="6639" width="17.88671875" style="1" customWidth="1"/>
    <col min="6640" max="6640" width="17.33203125" style="1" customWidth="1"/>
    <col min="6641" max="6643" width="13.44140625" style="1" bestFit="1" customWidth="1"/>
    <col min="6644" max="6644" width="13.44140625" style="1" customWidth="1"/>
    <col min="6645" max="6646" width="13.88671875" style="1" customWidth="1"/>
    <col min="6647" max="6649" width="13.44140625" style="1" bestFit="1" customWidth="1"/>
    <col min="6650" max="6650" width="13" style="1" customWidth="1"/>
    <col min="6651" max="6651" width="13.33203125" style="1" customWidth="1"/>
    <col min="6652" max="6652" width="14.88671875" style="1" customWidth="1"/>
    <col min="6653" max="6655" width="13.44140625" style="1"/>
    <col min="6656" max="6656" width="55" style="1" bestFit="1" customWidth="1"/>
    <col min="6657" max="6661" width="10.88671875" style="1" bestFit="1" customWidth="1"/>
    <col min="6662" max="6680" width="12.33203125" style="1" bestFit="1" customWidth="1"/>
    <col min="6681" max="6682" width="10.88671875" style="1" bestFit="1" customWidth="1"/>
    <col min="6683" max="6683" width="12.33203125" style="1" bestFit="1" customWidth="1"/>
    <col min="6684" max="6684" width="10.88671875" style="1" bestFit="1" customWidth="1"/>
    <col min="6685" max="6685" width="12.33203125" style="1" customWidth="1"/>
    <col min="6686" max="6686" width="12.33203125" style="1" bestFit="1" customWidth="1"/>
    <col min="6687" max="6687" width="10.88671875" style="1" bestFit="1" customWidth="1"/>
    <col min="6688" max="6688" width="12.33203125" style="1" bestFit="1" customWidth="1"/>
    <col min="6689" max="6707" width="10.88671875" style="1" bestFit="1" customWidth="1"/>
    <col min="6708" max="6724" width="12.33203125" style="1" bestFit="1" customWidth="1"/>
    <col min="6725" max="6726" width="10.88671875" style="1" bestFit="1" customWidth="1"/>
    <col min="6727" max="6727" width="12.33203125" style="1" bestFit="1" customWidth="1"/>
    <col min="6728" max="6732" width="10.88671875" style="1" bestFit="1" customWidth="1"/>
    <col min="6733" max="6740" width="12.33203125" style="1" bestFit="1" customWidth="1"/>
    <col min="6741" max="6741" width="10.88671875" style="1" bestFit="1" customWidth="1"/>
    <col min="6742" max="6743" width="12.33203125" style="1" bestFit="1" customWidth="1"/>
    <col min="6744" max="6744" width="10.88671875" style="1" bestFit="1" customWidth="1"/>
    <col min="6745" max="6747" width="12.33203125" style="1" bestFit="1" customWidth="1"/>
    <col min="6748" max="6749" width="10.88671875" style="1" customWidth="1"/>
    <col min="6750" max="6750" width="10.88671875" style="1" bestFit="1" customWidth="1"/>
    <col min="6751" max="6751" width="10.88671875" style="1" customWidth="1"/>
    <col min="6752" max="6759" width="10.88671875" style="1" bestFit="1" customWidth="1"/>
    <col min="6760" max="6760" width="12.33203125" style="1" bestFit="1" customWidth="1"/>
    <col min="6761" max="6761" width="10.88671875" style="1" bestFit="1" customWidth="1"/>
    <col min="6762" max="6777" width="12.33203125" style="1" bestFit="1" customWidth="1"/>
    <col min="6778" max="6778" width="10.88671875" style="1" bestFit="1" customWidth="1"/>
    <col min="6779" max="6781" width="12.33203125" style="1" bestFit="1" customWidth="1"/>
    <col min="6782" max="6782" width="13.44140625" style="1" bestFit="1" customWidth="1"/>
    <col min="6783" max="6784" width="12.33203125" style="1" bestFit="1" customWidth="1"/>
    <col min="6785" max="6786" width="13.44140625" style="1" bestFit="1" customWidth="1"/>
    <col min="6787" max="6802" width="12.33203125" style="1" bestFit="1" customWidth="1"/>
    <col min="6803" max="6803" width="13.44140625" style="1" bestFit="1" customWidth="1"/>
    <col min="6804" max="6804" width="12.33203125" style="1" bestFit="1" customWidth="1"/>
    <col min="6805" max="6805" width="13.44140625" style="1" bestFit="1" customWidth="1"/>
    <col min="6806" max="6807" width="12.33203125" style="1" bestFit="1" customWidth="1"/>
    <col min="6808" max="6811" width="13.44140625" style="1" bestFit="1" customWidth="1"/>
    <col min="6812" max="6814" width="12.33203125" style="1" bestFit="1" customWidth="1"/>
    <col min="6815" max="6815" width="13.44140625" style="1" bestFit="1" customWidth="1"/>
    <col min="6816" max="6818" width="12.33203125" style="1" bestFit="1" customWidth="1"/>
    <col min="6819" max="6821" width="13.5546875" style="1" bestFit="1" customWidth="1"/>
    <col min="6822" max="6823" width="13.44140625" style="1" bestFit="1" customWidth="1"/>
    <col min="6824" max="6824" width="13.5546875" style="1" bestFit="1" customWidth="1"/>
    <col min="6825" max="6826" width="13.44140625" style="1" bestFit="1" customWidth="1"/>
    <col min="6827" max="6828" width="12.33203125" style="1" bestFit="1" customWidth="1"/>
    <col min="6829" max="6829" width="13.44140625" style="1" bestFit="1" customWidth="1"/>
    <col min="6830" max="6833" width="12.33203125" style="1" bestFit="1" customWidth="1"/>
    <col min="6834" max="6834" width="14.33203125" style="1" customWidth="1"/>
    <col min="6835" max="6835" width="13.88671875" style="1" customWidth="1"/>
    <col min="6836" max="6836" width="13.33203125" style="1" customWidth="1"/>
    <col min="6837" max="6839" width="14.5546875" style="1" customWidth="1"/>
    <col min="6840" max="6840" width="17.33203125" style="1" customWidth="1"/>
    <col min="6841" max="6841" width="14.5546875" style="1" customWidth="1"/>
    <col min="6842" max="6842" width="15.5546875" style="1" customWidth="1"/>
    <col min="6843" max="6843" width="13.44140625" style="1" bestFit="1" customWidth="1"/>
    <col min="6844" max="6844" width="12.33203125" style="1" bestFit="1" customWidth="1"/>
    <col min="6845" max="6845" width="12.88671875" style="1" customWidth="1"/>
    <col min="6846" max="6846" width="14" style="1" customWidth="1"/>
    <col min="6847" max="6847" width="13.33203125" style="1" customWidth="1"/>
    <col min="6848" max="6848" width="13.44140625" style="1" customWidth="1"/>
    <col min="6849" max="6849" width="12.44140625" style="1" customWidth="1"/>
    <col min="6850" max="6850" width="12.109375" style="1" customWidth="1"/>
    <col min="6851" max="6851" width="13.33203125" style="1" customWidth="1"/>
    <col min="6852" max="6852" width="12.33203125" style="1" bestFit="1" customWidth="1"/>
    <col min="6853" max="6853" width="13.5546875" style="1" customWidth="1"/>
    <col min="6854" max="6854" width="13.44140625" style="1" bestFit="1" customWidth="1"/>
    <col min="6855" max="6856" width="12.33203125" style="1" bestFit="1" customWidth="1"/>
    <col min="6857" max="6860" width="13.44140625" style="1" bestFit="1" customWidth="1"/>
    <col min="6861" max="6861" width="15.44140625" style="1" customWidth="1"/>
    <col min="6862" max="6862" width="14.6640625" style="1" customWidth="1"/>
    <col min="6863" max="6863" width="15.109375" style="1" customWidth="1"/>
    <col min="6864" max="6864" width="15" style="1" customWidth="1"/>
    <col min="6865" max="6865" width="14.109375" style="1" customWidth="1"/>
    <col min="6866" max="6866" width="15.44140625" style="1" customWidth="1"/>
    <col min="6867" max="6867" width="17.44140625" style="1" customWidth="1"/>
    <col min="6868" max="6868" width="16.33203125" style="1" customWidth="1"/>
    <col min="6869" max="6871" width="15.5546875" style="1" customWidth="1"/>
    <col min="6872" max="6874" width="13.44140625" style="1" bestFit="1" customWidth="1"/>
    <col min="6875" max="6875" width="15.109375" style="1" customWidth="1"/>
    <col min="6876" max="6876" width="14.109375" style="1" customWidth="1"/>
    <col min="6877" max="6877" width="14.33203125" style="1" customWidth="1"/>
    <col min="6878" max="6878" width="14.88671875" style="1" customWidth="1"/>
    <col min="6879" max="6879" width="14.5546875" style="1" customWidth="1"/>
    <col min="6880" max="6880" width="16.44140625" style="1" customWidth="1"/>
    <col min="6881" max="6881" width="16.33203125" style="1" customWidth="1"/>
    <col min="6882" max="6882" width="15.88671875" style="1" customWidth="1"/>
    <col min="6883" max="6883" width="16.33203125" style="1" customWidth="1"/>
    <col min="6884" max="6884" width="17" style="1" customWidth="1"/>
    <col min="6885" max="6885" width="16.33203125" style="1" customWidth="1"/>
    <col min="6886" max="6886" width="15.109375" style="1" customWidth="1"/>
    <col min="6887" max="6887" width="14.88671875" style="1" customWidth="1"/>
    <col min="6888" max="6889" width="13.6640625" style="1" customWidth="1"/>
    <col min="6890" max="6890" width="14.109375" style="1" customWidth="1"/>
    <col min="6891" max="6891" width="15.33203125" style="1" customWidth="1"/>
    <col min="6892" max="6893" width="15.5546875" style="1" customWidth="1"/>
    <col min="6894" max="6894" width="17.5546875" style="1" customWidth="1"/>
    <col min="6895" max="6895" width="17.88671875" style="1" customWidth="1"/>
    <col min="6896" max="6896" width="17.33203125" style="1" customWidth="1"/>
    <col min="6897" max="6899" width="13.44140625" style="1" bestFit="1" customWidth="1"/>
    <col min="6900" max="6900" width="13.44140625" style="1" customWidth="1"/>
    <col min="6901" max="6902" width="13.88671875" style="1" customWidth="1"/>
    <col min="6903" max="6905" width="13.44140625" style="1" bestFit="1" customWidth="1"/>
    <col min="6906" max="6906" width="13" style="1" customWidth="1"/>
    <col min="6907" max="6907" width="13.33203125" style="1" customWidth="1"/>
    <col min="6908" max="6908" width="14.88671875" style="1" customWidth="1"/>
    <col min="6909" max="6911" width="13.44140625" style="1"/>
    <col min="6912" max="6912" width="55" style="1" bestFit="1" customWidth="1"/>
    <col min="6913" max="6917" width="10.88671875" style="1" bestFit="1" customWidth="1"/>
    <col min="6918" max="6936" width="12.33203125" style="1" bestFit="1" customWidth="1"/>
    <col min="6937" max="6938" width="10.88671875" style="1" bestFit="1" customWidth="1"/>
    <col min="6939" max="6939" width="12.33203125" style="1" bestFit="1" customWidth="1"/>
    <col min="6940" max="6940" width="10.88671875" style="1" bestFit="1" customWidth="1"/>
    <col min="6941" max="6941" width="12.33203125" style="1" customWidth="1"/>
    <col min="6942" max="6942" width="12.33203125" style="1" bestFit="1" customWidth="1"/>
    <col min="6943" max="6943" width="10.88671875" style="1" bestFit="1" customWidth="1"/>
    <col min="6944" max="6944" width="12.33203125" style="1" bestFit="1" customWidth="1"/>
    <col min="6945" max="6963" width="10.88671875" style="1" bestFit="1" customWidth="1"/>
    <col min="6964" max="6980" width="12.33203125" style="1" bestFit="1" customWidth="1"/>
    <col min="6981" max="6982" width="10.88671875" style="1" bestFit="1" customWidth="1"/>
    <col min="6983" max="6983" width="12.33203125" style="1" bestFit="1" customWidth="1"/>
    <col min="6984" max="6988" width="10.88671875" style="1" bestFit="1" customWidth="1"/>
    <col min="6989" max="6996" width="12.33203125" style="1" bestFit="1" customWidth="1"/>
    <col min="6997" max="6997" width="10.88671875" style="1" bestFit="1" customWidth="1"/>
    <col min="6998" max="6999" width="12.33203125" style="1" bestFit="1" customWidth="1"/>
    <col min="7000" max="7000" width="10.88671875" style="1" bestFit="1" customWidth="1"/>
    <col min="7001" max="7003" width="12.33203125" style="1" bestFit="1" customWidth="1"/>
    <col min="7004" max="7005" width="10.88671875" style="1" customWidth="1"/>
    <col min="7006" max="7006" width="10.88671875" style="1" bestFit="1" customWidth="1"/>
    <col min="7007" max="7007" width="10.88671875" style="1" customWidth="1"/>
    <col min="7008" max="7015" width="10.88671875" style="1" bestFit="1" customWidth="1"/>
    <col min="7016" max="7016" width="12.33203125" style="1" bestFit="1" customWidth="1"/>
    <col min="7017" max="7017" width="10.88671875" style="1" bestFit="1" customWidth="1"/>
    <col min="7018" max="7033" width="12.33203125" style="1" bestFit="1" customWidth="1"/>
    <col min="7034" max="7034" width="10.88671875" style="1" bestFit="1" customWidth="1"/>
    <col min="7035" max="7037" width="12.33203125" style="1" bestFit="1" customWidth="1"/>
    <col min="7038" max="7038" width="13.44140625" style="1" bestFit="1" customWidth="1"/>
    <col min="7039" max="7040" width="12.33203125" style="1" bestFit="1" customWidth="1"/>
    <col min="7041" max="7042" width="13.44140625" style="1" bestFit="1" customWidth="1"/>
    <col min="7043" max="7058" width="12.33203125" style="1" bestFit="1" customWidth="1"/>
    <col min="7059" max="7059" width="13.44140625" style="1" bestFit="1" customWidth="1"/>
    <col min="7060" max="7060" width="12.33203125" style="1" bestFit="1" customWidth="1"/>
    <col min="7061" max="7061" width="13.44140625" style="1" bestFit="1" customWidth="1"/>
    <col min="7062" max="7063" width="12.33203125" style="1" bestFit="1" customWidth="1"/>
    <col min="7064" max="7067" width="13.44140625" style="1" bestFit="1" customWidth="1"/>
    <col min="7068" max="7070" width="12.33203125" style="1" bestFit="1" customWidth="1"/>
    <col min="7071" max="7071" width="13.44140625" style="1" bestFit="1" customWidth="1"/>
    <col min="7072" max="7074" width="12.33203125" style="1" bestFit="1" customWidth="1"/>
    <col min="7075" max="7077" width="13.5546875" style="1" bestFit="1" customWidth="1"/>
    <col min="7078" max="7079" width="13.44140625" style="1" bestFit="1" customWidth="1"/>
    <col min="7080" max="7080" width="13.5546875" style="1" bestFit="1" customWidth="1"/>
    <col min="7081" max="7082" width="13.44140625" style="1" bestFit="1" customWidth="1"/>
    <col min="7083" max="7084" width="12.33203125" style="1" bestFit="1" customWidth="1"/>
    <col min="7085" max="7085" width="13.44140625" style="1" bestFit="1" customWidth="1"/>
    <col min="7086" max="7089" width="12.33203125" style="1" bestFit="1" customWidth="1"/>
    <col min="7090" max="7090" width="14.33203125" style="1" customWidth="1"/>
    <col min="7091" max="7091" width="13.88671875" style="1" customWidth="1"/>
    <col min="7092" max="7092" width="13.33203125" style="1" customWidth="1"/>
    <col min="7093" max="7095" width="14.5546875" style="1" customWidth="1"/>
    <col min="7096" max="7096" width="17.33203125" style="1" customWidth="1"/>
    <col min="7097" max="7097" width="14.5546875" style="1" customWidth="1"/>
    <col min="7098" max="7098" width="15.5546875" style="1" customWidth="1"/>
    <col min="7099" max="7099" width="13.44140625" style="1" bestFit="1" customWidth="1"/>
    <col min="7100" max="7100" width="12.33203125" style="1" bestFit="1" customWidth="1"/>
    <col min="7101" max="7101" width="12.88671875" style="1" customWidth="1"/>
    <col min="7102" max="7102" width="14" style="1" customWidth="1"/>
    <col min="7103" max="7103" width="13.33203125" style="1" customWidth="1"/>
    <col min="7104" max="7104" width="13.44140625" style="1" customWidth="1"/>
    <col min="7105" max="7105" width="12.44140625" style="1" customWidth="1"/>
    <col min="7106" max="7106" width="12.109375" style="1" customWidth="1"/>
    <col min="7107" max="7107" width="13.33203125" style="1" customWidth="1"/>
    <col min="7108" max="7108" width="12.33203125" style="1" bestFit="1" customWidth="1"/>
    <col min="7109" max="7109" width="13.5546875" style="1" customWidth="1"/>
    <col min="7110" max="7110" width="13.44140625" style="1" bestFit="1" customWidth="1"/>
    <col min="7111" max="7112" width="12.33203125" style="1" bestFit="1" customWidth="1"/>
    <col min="7113" max="7116" width="13.44140625" style="1" bestFit="1" customWidth="1"/>
    <col min="7117" max="7117" width="15.44140625" style="1" customWidth="1"/>
    <col min="7118" max="7118" width="14.6640625" style="1" customWidth="1"/>
    <col min="7119" max="7119" width="15.109375" style="1" customWidth="1"/>
    <col min="7120" max="7120" width="15" style="1" customWidth="1"/>
    <col min="7121" max="7121" width="14.109375" style="1" customWidth="1"/>
    <col min="7122" max="7122" width="15.44140625" style="1" customWidth="1"/>
    <col min="7123" max="7123" width="17.44140625" style="1" customWidth="1"/>
    <col min="7124" max="7124" width="16.33203125" style="1" customWidth="1"/>
    <col min="7125" max="7127" width="15.5546875" style="1" customWidth="1"/>
    <col min="7128" max="7130" width="13.44140625" style="1" bestFit="1" customWidth="1"/>
    <col min="7131" max="7131" width="15.109375" style="1" customWidth="1"/>
    <col min="7132" max="7132" width="14.109375" style="1" customWidth="1"/>
    <col min="7133" max="7133" width="14.33203125" style="1" customWidth="1"/>
    <col min="7134" max="7134" width="14.88671875" style="1" customWidth="1"/>
    <col min="7135" max="7135" width="14.5546875" style="1" customWidth="1"/>
    <col min="7136" max="7136" width="16.44140625" style="1" customWidth="1"/>
    <col min="7137" max="7137" width="16.33203125" style="1" customWidth="1"/>
    <col min="7138" max="7138" width="15.88671875" style="1" customWidth="1"/>
    <col min="7139" max="7139" width="16.33203125" style="1" customWidth="1"/>
    <col min="7140" max="7140" width="17" style="1" customWidth="1"/>
    <col min="7141" max="7141" width="16.33203125" style="1" customWidth="1"/>
    <col min="7142" max="7142" width="15.109375" style="1" customWidth="1"/>
    <col min="7143" max="7143" width="14.88671875" style="1" customWidth="1"/>
    <col min="7144" max="7145" width="13.6640625" style="1" customWidth="1"/>
    <col min="7146" max="7146" width="14.109375" style="1" customWidth="1"/>
    <col min="7147" max="7147" width="15.33203125" style="1" customWidth="1"/>
    <col min="7148" max="7149" width="15.5546875" style="1" customWidth="1"/>
    <col min="7150" max="7150" width="17.5546875" style="1" customWidth="1"/>
    <col min="7151" max="7151" width="17.88671875" style="1" customWidth="1"/>
    <col min="7152" max="7152" width="17.33203125" style="1" customWidth="1"/>
    <col min="7153" max="7155" width="13.44140625" style="1" bestFit="1" customWidth="1"/>
    <col min="7156" max="7156" width="13.44140625" style="1" customWidth="1"/>
    <col min="7157" max="7158" width="13.88671875" style="1" customWidth="1"/>
    <col min="7159" max="7161" width="13.44140625" style="1" bestFit="1" customWidth="1"/>
    <col min="7162" max="7162" width="13" style="1" customWidth="1"/>
    <col min="7163" max="7163" width="13.33203125" style="1" customWidth="1"/>
    <col min="7164" max="7164" width="14.88671875" style="1" customWidth="1"/>
    <col min="7165" max="7167" width="13.44140625" style="1"/>
    <col min="7168" max="7168" width="55" style="1" bestFit="1" customWidth="1"/>
    <col min="7169" max="7173" width="10.88671875" style="1" bestFit="1" customWidth="1"/>
    <col min="7174" max="7192" width="12.33203125" style="1" bestFit="1" customWidth="1"/>
    <col min="7193" max="7194" width="10.88671875" style="1" bestFit="1" customWidth="1"/>
    <col min="7195" max="7195" width="12.33203125" style="1" bestFit="1" customWidth="1"/>
    <col min="7196" max="7196" width="10.88671875" style="1" bestFit="1" customWidth="1"/>
    <col min="7197" max="7197" width="12.33203125" style="1" customWidth="1"/>
    <col min="7198" max="7198" width="12.33203125" style="1" bestFit="1" customWidth="1"/>
    <col min="7199" max="7199" width="10.88671875" style="1" bestFit="1" customWidth="1"/>
    <col min="7200" max="7200" width="12.33203125" style="1" bestFit="1" customWidth="1"/>
    <col min="7201" max="7219" width="10.88671875" style="1" bestFit="1" customWidth="1"/>
    <col min="7220" max="7236" width="12.33203125" style="1" bestFit="1" customWidth="1"/>
    <col min="7237" max="7238" width="10.88671875" style="1" bestFit="1" customWidth="1"/>
    <col min="7239" max="7239" width="12.33203125" style="1" bestFit="1" customWidth="1"/>
    <col min="7240" max="7244" width="10.88671875" style="1" bestFit="1" customWidth="1"/>
    <col min="7245" max="7252" width="12.33203125" style="1" bestFit="1" customWidth="1"/>
    <col min="7253" max="7253" width="10.88671875" style="1" bestFit="1" customWidth="1"/>
    <col min="7254" max="7255" width="12.33203125" style="1" bestFit="1" customWidth="1"/>
    <col min="7256" max="7256" width="10.88671875" style="1" bestFit="1" customWidth="1"/>
    <col min="7257" max="7259" width="12.33203125" style="1" bestFit="1" customWidth="1"/>
    <col min="7260" max="7261" width="10.88671875" style="1" customWidth="1"/>
    <col min="7262" max="7262" width="10.88671875" style="1" bestFit="1" customWidth="1"/>
    <col min="7263" max="7263" width="10.88671875" style="1" customWidth="1"/>
    <col min="7264" max="7271" width="10.88671875" style="1" bestFit="1" customWidth="1"/>
    <col min="7272" max="7272" width="12.33203125" style="1" bestFit="1" customWidth="1"/>
    <col min="7273" max="7273" width="10.88671875" style="1" bestFit="1" customWidth="1"/>
    <col min="7274" max="7289" width="12.33203125" style="1" bestFit="1" customWidth="1"/>
    <col min="7290" max="7290" width="10.88671875" style="1" bestFit="1" customWidth="1"/>
    <col min="7291" max="7293" width="12.33203125" style="1" bestFit="1" customWidth="1"/>
    <col min="7294" max="7294" width="13.44140625" style="1" bestFit="1" customWidth="1"/>
    <col min="7295" max="7296" width="12.33203125" style="1" bestFit="1" customWidth="1"/>
    <col min="7297" max="7298" width="13.44140625" style="1" bestFit="1" customWidth="1"/>
    <col min="7299" max="7314" width="12.33203125" style="1" bestFit="1" customWidth="1"/>
    <col min="7315" max="7315" width="13.44140625" style="1" bestFit="1" customWidth="1"/>
    <col min="7316" max="7316" width="12.33203125" style="1" bestFit="1" customWidth="1"/>
    <col min="7317" max="7317" width="13.44140625" style="1" bestFit="1" customWidth="1"/>
    <col min="7318" max="7319" width="12.33203125" style="1" bestFit="1" customWidth="1"/>
    <col min="7320" max="7323" width="13.44140625" style="1" bestFit="1" customWidth="1"/>
    <col min="7324" max="7326" width="12.33203125" style="1" bestFit="1" customWidth="1"/>
    <col min="7327" max="7327" width="13.44140625" style="1" bestFit="1" customWidth="1"/>
    <col min="7328" max="7330" width="12.33203125" style="1" bestFit="1" customWidth="1"/>
    <col min="7331" max="7333" width="13.5546875" style="1" bestFit="1" customWidth="1"/>
    <col min="7334" max="7335" width="13.44140625" style="1" bestFit="1" customWidth="1"/>
    <col min="7336" max="7336" width="13.5546875" style="1" bestFit="1" customWidth="1"/>
    <col min="7337" max="7338" width="13.44140625" style="1" bestFit="1" customWidth="1"/>
    <col min="7339" max="7340" width="12.33203125" style="1" bestFit="1" customWidth="1"/>
    <col min="7341" max="7341" width="13.44140625" style="1" bestFit="1" customWidth="1"/>
    <col min="7342" max="7345" width="12.33203125" style="1" bestFit="1" customWidth="1"/>
    <col min="7346" max="7346" width="14.33203125" style="1" customWidth="1"/>
    <col min="7347" max="7347" width="13.88671875" style="1" customWidth="1"/>
    <col min="7348" max="7348" width="13.33203125" style="1" customWidth="1"/>
    <col min="7349" max="7351" width="14.5546875" style="1" customWidth="1"/>
    <col min="7352" max="7352" width="17.33203125" style="1" customWidth="1"/>
    <col min="7353" max="7353" width="14.5546875" style="1" customWidth="1"/>
    <col min="7354" max="7354" width="15.5546875" style="1" customWidth="1"/>
    <col min="7355" max="7355" width="13.44140625" style="1" bestFit="1" customWidth="1"/>
    <col min="7356" max="7356" width="12.33203125" style="1" bestFit="1" customWidth="1"/>
    <col min="7357" max="7357" width="12.88671875" style="1" customWidth="1"/>
    <col min="7358" max="7358" width="14" style="1" customWidth="1"/>
    <col min="7359" max="7359" width="13.33203125" style="1" customWidth="1"/>
    <col min="7360" max="7360" width="13.44140625" style="1" customWidth="1"/>
    <col min="7361" max="7361" width="12.44140625" style="1" customWidth="1"/>
    <col min="7362" max="7362" width="12.109375" style="1" customWidth="1"/>
    <col min="7363" max="7363" width="13.33203125" style="1" customWidth="1"/>
    <col min="7364" max="7364" width="12.33203125" style="1" bestFit="1" customWidth="1"/>
    <col min="7365" max="7365" width="13.5546875" style="1" customWidth="1"/>
    <col min="7366" max="7366" width="13.44140625" style="1" bestFit="1" customWidth="1"/>
    <col min="7367" max="7368" width="12.33203125" style="1" bestFit="1" customWidth="1"/>
    <col min="7369" max="7372" width="13.44140625" style="1" bestFit="1" customWidth="1"/>
    <col min="7373" max="7373" width="15.44140625" style="1" customWidth="1"/>
    <col min="7374" max="7374" width="14.6640625" style="1" customWidth="1"/>
    <col min="7375" max="7375" width="15.109375" style="1" customWidth="1"/>
    <col min="7376" max="7376" width="15" style="1" customWidth="1"/>
    <col min="7377" max="7377" width="14.109375" style="1" customWidth="1"/>
    <col min="7378" max="7378" width="15.44140625" style="1" customWidth="1"/>
    <col min="7379" max="7379" width="17.44140625" style="1" customWidth="1"/>
    <col min="7380" max="7380" width="16.33203125" style="1" customWidth="1"/>
    <col min="7381" max="7383" width="15.5546875" style="1" customWidth="1"/>
    <col min="7384" max="7386" width="13.44140625" style="1" bestFit="1" customWidth="1"/>
    <col min="7387" max="7387" width="15.109375" style="1" customWidth="1"/>
    <col min="7388" max="7388" width="14.109375" style="1" customWidth="1"/>
    <col min="7389" max="7389" width="14.33203125" style="1" customWidth="1"/>
    <col min="7390" max="7390" width="14.88671875" style="1" customWidth="1"/>
    <col min="7391" max="7391" width="14.5546875" style="1" customWidth="1"/>
    <col min="7392" max="7392" width="16.44140625" style="1" customWidth="1"/>
    <col min="7393" max="7393" width="16.33203125" style="1" customWidth="1"/>
    <col min="7394" max="7394" width="15.88671875" style="1" customWidth="1"/>
    <col min="7395" max="7395" width="16.33203125" style="1" customWidth="1"/>
    <col min="7396" max="7396" width="17" style="1" customWidth="1"/>
    <col min="7397" max="7397" width="16.33203125" style="1" customWidth="1"/>
    <col min="7398" max="7398" width="15.109375" style="1" customWidth="1"/>
    <col min="7399" max="7399" width="14.88671875" style="1" customWidth="1"/>
    <col min="7400" max="7401" width="13.6640625" style="1" customWidth="1"/>
    <col min="7402" max="7402" width="14.109375" style="1" customWidth="1"/>
    <col min="7403" max="7403" width="15.33203125" style="1" customWidth="1"/>
    <col min="7404" max="7405" width="15.5546875" style="1" customWidth="1"/>
    <col min="7406" max="7406" width="17.5546875" style="1" customWidth="1"/>
    <col min="7407" max="7407" width="17.88671875" style="1" customWidth="1"/>
    <col min="7408" max="7408" width="17.33203125" style="1" customWidth="1"/>
    <col min="7409" max="7411" width="13.44140625" style="1" bestFit="1" customWidth="1"/>
    <col min="7412" max="7412" width="13.44140625" style="1" customWidth="1"/>
    <col min="7413" max="7414" width="13.88671875" style="1" customWidth="1"/>
    <col min="7415" max="7417" width="13.44140625" style="1" bestFit="1" customWidth="1"/>
    <col min="7418" max="7418" width="13" style="1" customWidth="1"/>
    <col min="7419" max="7419" width="13.33203125" style="1" customWidth="1"/>
    <col min="7420" max="7420" width="14.88671875" style="1" customWidth="1"/>
    <col min="7421" max="7423" width="13.44140625" style="1"/>
    <col min="7424" max="7424" width="55" style="1" bestFit="1" customWidth="1"/>
    <col min="7425" max="7429" width="10.88671875" style="1" bestFit="1" customWidth="1"/>
    <col min="7430" max="7448" width="12.33203125" style="1" bestFit="1" customWidth="1"/>
    <col min="7449" max="7450" width="10.88671875" style="1" bestFit="1" customWidth="1"/>
    <col min="7451" max="7451" width="12.33203125" style="1" bestFit="1" customWidth="1"/>
    <col min="7452" max="7452" width="10.88671875" style="1" bestFit="1" customWidth="1"/>
    <col min="7453" max="7453" width="12.33203125" style="1" customWidth="1"/>
    <col min="7454" max="7454" width="12.33203125" style="1" bestFit="1" customWidth="1"/>
    <col min="7455" max="7455" width="10.88671875" style="1" bestFit="1" customWidth="1"/>
    <col min="7456" max="7456" width="12.33203125" style="1" bestFit="1" customWidth="1"/>
    <col min="7457" max="7475" width="10.88671875" style="1" bestFit="1" customWidth="1"/>
    <col min="7476" max="7492" width="12.33203125" style="1" bestFit="1" customWidth="1"/>
    <col min="7493" max="7494" width="10.88671875" style="1" bestFit="1" customWidth="1"/>
    <col min="7495" max="7495" width="12.33203125" style="1" bestFit="1" customWidth="1"/>
    <col min="7496" max="7500" width="10.88671875" style="1" bestFit="1" customWidth="1"/>
    <col min="7501" max="7508" width="12.33203125" style="1" bestFit="1" customWidth="1"/>
    <col min="7509" max="7509" width="10.88671875" style="1" bestFit="1" customWidth="1"/>
    <col min="7510" max="7511" width="12.33203125" style="1" bestFit="1" customWidth="1"/>
    <col min="7512" max="7512" width="10.88671875" style="1" bestFit="1" customWidth="1"/>
    <col min="7513" max="7515" width="12.33203125" style="1" bestFit="1" customWidth="1"/>
    <col min="7516" max="7517" width="10.88671875" style="1" customWidth="1"/>
    <col min="7518" max="7518" width="10.88671875" style="1" bestFit="1" customWidth="1"/>
    <col min="7519" max="7519" width="10.88671875" style="1" customWidth="1"/>
    <col min="7520" max="7527" width="10.88671875" style="1" bestFit="1" customWidth="1"/>
    <col min="7528" max="7528" width="12.33203125" style="1" bestFit="1" customWidth="1"/>
    <col min="7529" max="7529" width="10.88671875" style="1" bestFit="1" customWidth="1"/>
    <col min="7530" max="7545" width="12.33203125" style="1" bestFit="1" customWidth="1"/>
    <col min="7546" max="7546" width="10.88671875" style="1" bestFit="1" customWidth="1"/>
    <col min="7547" max="7549" width="12.33203125" style="1" bestFit="1" customWidth="1"/>
    <col min="7550" max="7550" width="13.44140625" style="1" bestFit="1" customWidth="1"/>
    <col min="7551" max="7552" width="12.33203125" style="1" bestFit="1" customWidth="1"/>
    <col min="7553" max="7554" width="13.44140625" style="1" bestFit="1" customWidth="1"/>
    <col min="7555" max="7570" width="12.33203125" style="1" bestFit="1" customWidth="1"/>
    <col min="7571" max="7571" width="13.44140625" style="1" bestFit="1" customWidth="1"/>
    <col min="7572" max="7572" width="12.33203125" style="1" bestFit="1" customWidth="1"/>
    <col min="7573" max="7573" width="13.44140625" style="1" bestFit="1" customWidth="1"/>
    <col min="7574" max="7575" width="12.33203125" style="1" bestFit="1" customWidth="1"/>
    <col min="7576" max="7579" width="13.44140625" style="1" bestFit="1" customWidth="1"/>
    <col min="7580" max="7582" width="12.33203125" style="1" bestFit="1" customWidth="1"/>
    <col min="7583" max="7583" width="13.44140625" style="1" bestFit="1" customWidth="1"/>
    <col min="7584" max="7586" width="12.33203125" style="1" bestFit="1" customWidth="1"/>
    <col min="7587" max="7589" width="13.5546875" style="1" bestFit="1" customWidth="1"/>
    <col min="7590" max="7591" width="13.44140625" style="1" bestFit="1" customWidth="1"/>
    <col min="7592" max="7592" width="13.5546875" style="1" bestFit="1" customWidth="1"/>
    <col min="7593" max="7594" width="13.44140625" style="1" bestFit="1" customWidth="1"/>
    <col min="7595" max="7596" width="12.33203125" style="1" bestFit="1" customWidth="1"/>
    <col min="7597" max="7597" width="13.44140625" style="1" bestFit="1" customWidth="1"/>
    <col min="7598" max="7601" width="12.33203125" style="1" bestFit="1" customWidth="1"/>
    <col min="7602" max="7602" width="14.33203125" style="1" customWidth="1"/>
    <col min="7603" max="7603" width="13.88671875" style="1" customWidth="1"/>
    <col min="7604" max="7604" width="13.33203125" style="1" customWidth="1"/>
    <col min="7605" max="7607" width="14.5546875" style="1" customWidth="1"/>
    <col min="7608" max="7608" width="17.33203125" style="1" customWidth="1"/>
    <col min="7609" max="7609" width="14.5546875" style="1" customWidth="1"/>
    <col min="7610" max="7610" width="15.5546875" style="1" customWidth="1"/>
    <col min="7611" max="7611" width="13.44140625" style="1" bestFit="1" customWidth="1"/>
    <col min="7612" max="7612" width="12.33203125" style="1" bestFit="1" customWidth="1"/>
    <col min="7613" max="7613" width="12.88671875" style="1" customWidth="1"/>
    <col min="7614" max="7614" width="14" style="1" customWidth="1"/>
    <col min="7615" max="7615" width="13.33203125" style="1" customWidth="1"/>
    <col min="7616" max="7616" width="13.44140625" style="1" customWidth="1"/>
    <col min="7617" max="7617" width="12.44140625" style="1" customWidth="1"/>
    <col min="7618" max="7618" width="12.109375" style="1" customWidth="1"/>
    <col min="7619" max="7619" width="13.33203125" style="1" customWidth="1"/>
    <col min="7620" max="7620" width="12.33203125" style="1" bestFit="1" customWidth="1"/>
    <col min="7621" max="7621" width="13.5546875" style="1" customWidth="1"/>
    <col min="7622" max="7622" width="13.44140625" style="1" bestFit="1" customWidth="1"/>
    <col min="7623" max="7624" width="12.33203125" style="1" bestFit="1" customWidth="1"/>
    <col min="7625" max="7628" width="13.44140625" style="1" bestFit="1" customWidth="1"/>
    <col min="7629" max="7629" width="15.44140625" style="1" customWidth="1"/>
    <col min="7630" max="7630" width="14.6640625" style="1" customWidth="1"/>
    <col min="7631" max="7631" width="15.109375" style="1" customWidth="1"/>
    <col min="7632" max="7632" width="15" style="1" customWidth="1"/>
    <col min="7633" max="7633" width="14.109375" style="1" customWidth="1"/>
    <col min="7634" max="7634" width="15.44140625" style="1" customWidth="1"/>
    <col min="7635" max="7635" width="17.44140625" style="1" customWidth="1"/>
    <col min="7636" max="7636" width="16.33203125" style="1" customWidth="1"/>
    <col min="7637" max="7639" width="15.5546875" style="1" customWidth="1"/>
    <col min="7640" max="7642" width="13.44140625" style="1" bestFit="1" customWidth="1"/>
    <col min="7643" max="7643" width="15.109375" style="1" customWidth="1"/>
    <col min="7644" max="7644" width="14.109375" style="1" customWidth="1"/>
    <col min="7645" max="7645" width="14.33203125" style="1" customWidth="1"/>
    <col min="7646" max="7646" width="14.88671875" style="1" customWidth="1"/>
    <col min="7647" max="7647" width="14.5546875" style="1" customWidth="1"/>
    <col min="7648" max="7648" width="16.44140625" style="1" customWidth="1"/>
    <col min="7649" max="7649" width="16.33203125" style="1" customWidth="1"/>
    <col min="7650" max="7650" width="15.88671875" style="1" customWidth="1"/>
    <col min="7651" max="7651" width="16.33203125" style="1" customWidth="1"/>
    <col min="7652" max="7652" width="17" style="1" customWidth="1"/>
    <col min="7653" max="7653" width="16.33203125" style="1" customWidth="1"/>
    <col min="7654" max="7654" width="15.109375" style="1" customWidth="1"/>
    <col min="7655" max="7655" width="14.88671875" style="1" customWidth="1"/>
    <col min="7656" max="7657" width="13.6640625" style="1" customWidth="1"/>
    <col min="7658" max="7658" width="14.109375" style="1" customWidth="1"/>
    <col min="7659" max="7659" width="15.33203125" style="1" customWidth="1"/>
    <col min="7660" max="7661" width="15.5546875" style="1" customWidth="1"/>
    <col min="7662" max="7662" width="17.5546875" style="1" customWidth="1"/>
    <col min="7663" max="7663" width="17.88671875" style="1" customWidth="1"/>
    <col min="7664" max="7664" width="17.33203125" style="1" customWidth="1"/>
    <col min="7665" max="7667" width="13.44140625" style="1" bestFit="1" customWidth="1"/>
    <col min="7668" max="7668" width="13.44140625" style="1" customWidth="1"/>
    <col min="7669" max="7670" width="13.88671875" style="1" customWidth="1"/>
    <col min="7671" max="7673" width="13.44140625" style="1" bestFit="1" customWidth="1"/>
    <col min="7674" max="7674" width="13" style="1" customWidth="1"/>
    <col min="7675" max="7675" width="13.33203125" style="1" customWidth="1"/>
    <col min="7676" max="7676" width="14.88671875" style="1" customWidth="1"/>
    <col min="7677" max="7679" width="13.44140625" style="1"/>
    <col min="7680" max="7680" width="55" style="1" bestFit="1" customWidth="1"/>
    <col min="7681" max="7685" width="10.88671875" style="1" bestFit="1" customWidth="1"/>
    <col min="7686" max="7704" width="12.33203125" style="1" bestFit="1" customWidth="1"/>
    <col min="7705" max="7706" width="10.88671875" style="1" bestFit="1" customWidth="1"/>
    <col min="7707" max="7707" width="12.33203125" style="1" bestFit="1" customWidth="1"/>
    <col min="7708" max="7708" width="10.88671875" style="1" bestFit="1" customWidth="1"/>
    <col min="7709" max="7709" width="12.33203125" style="1" customWidth="1"/>
    <col min="7710" max="7710" width="12.33203125" style="1" bestFit="1" customWidth="1"/>
    <col min="7711" max="7711" width="10.88671875" style="1" bestFit="1" customWidth="1"/>
    <col min="7712" max="7712" width="12.33203125" style="1" bestFit="1" customWidth="1"/>
    <col min="7713" max="7731" width="10.88671875" style="1" bestFit="1" customWidth="1"/>
    <col min="7732" max="7748" width="12.33203125" style="1" bestFit="1" customWidth="1"/>
    <col min="7749" max="7750" width="10.88671875" style="1" bestFit="1" customWidth="1"/>
    <col min="7751" max="7751" width="12.33203125" style="1" bestFit="1" customWidth="1"/>
    <col min="7752" max="7756" width="10.88671875" style="1" bestFit="1" customWidth="1"/>
    <col min="7757" max="7764" width="12.33203125" style="1" bestFit="1" customWidth="1"/>
    <col min="7765" max="7765" width="10.88671875" style="1" bestFit="1" customWidth="1"/>
    <col min="7766" max="7767" width="12.33203125" style="1" bestFit="1" customWidth="1"/>
    <col min="7768" max="7768" width="10.88671875" style="1" bestFit="1" customWidth="1"/>
    <col min="7769" max="7771" width="12.33203125" style="1" bestFit="1" customWidth="1"/>
    <col min="7772" max="7773" width="10.88671875" style="1" customWidth="1"/>
    <col min="7774" max="7774" width="10.88671875" style="1" bestFit="1" customWidth="1"/>
    <col min="7775" max="7775" width="10.88671875" style="1" customWidth="1"/>
    <col min="7776" max="7783" width="10.88671875" style="1" bestFit="1" customWidth="1"/>
    <col min="7784" max="7784" width="12.33203125" style="1" bestFit="1" customWidth="1"/>
    <col min="7785" max="7785" width="10.88671875" style="1" bestFit="1" customWidth="1"/>
    <col min="7786" max="7801" width="12.33203125" style="1" bestFit="1" customWidth="1"/>
    <col min="7802" max="7802" width="10.88671875" style="1" bestFit="1" customWidth="1"/>
    <col min="7803" max="7805" width="12.33203125" style="1" bestFit="1" customWidth="1"/>
    <col min="7806" max="7806" width="13.44140625" style="1" bestFit="1" customWidth="1"/>
    <col min="7807" max="7808" width="12.33203125" style="1" bestFit="1" customWidth="1"/>
    <col min="7809" max="7810" width="13.44140625" style="1" bestFit="1" customWidth="1"/>
    <col min="7811" max="7826" width="12.33203125" style="1" bestFit="1" customWidth="1"/>
    <col min="7827" max="7827" width="13.44140625" style="1" bestFit="1" customWidth="1"/>
    <col min="7828" max="7828" width="12.33203125" style="1" bestFit="1" customWidth="1"/>
    <col min="7829" max="7829" width="13.44140625" style="1" bestFit="1" customWidth="1"/>
    <col min="7830" max="7831" width="12.33203125" style="1" bestFit="1" customWidth="1"/>
    <col min="7832" max="7835" width="13.44140625" style="1" bestFit="1" customWidth="1"/>
    <col min="7836" max="7838" width="12.33203125" style="1" bestFit="1" customWidth="1"/>
    <col min="7839" max="7839" width="13.44140625" style="1" bestFit="1" customWidth="1"/>
    <col min="7840" max="7842" width="12.33203125" style="1" bestFit="1" customWidth="1"/>
    <col min="7843" max="7845" width="13.5546875" style="1" bestFit="1" customWidth="1"/>
    <col min="7846" max="7847" width="13.44140625" style="1" bestFit="1" customWidth="1"/>
    <col min="7848" max="7848" width="13.5546875" style="1" bestFit="1" customWidth="1"/>
    <col min="7849" max="7850" width="13.44140625" style="1" bestFit="1" customWidth="1"/>
    <col min="7851" max="7852" width="12.33203125" style="1" bestFit="1" customWidth="1"/>
    <col min="7853" max="7853" width="13.44140625" style="1" bestFit="1" customWidth="1"/>
    <col min="7854" max="7857" width="12.33203125" style="1" bestFit="1" customWidth="1"/>
    <col min="7858" max="7858" width="14.33203125" style="1" customWidth="1"/>
    <col min="7859" max="7859" width="13.88671875" style="1" customWidth="1"/>
    <col min="7860" max="7860" width="13.33203125" style="1" customWidth="1"/>
    <col min="7861" max="7863" width="14.5546875" style="1" customWidth="1"/>
    <col min="7864" max="7864" width="17.33203125" style="1" customWidth="1"/>
    <col min="7865" max="7865" width="14.5546875" style="1" customWidth="1"/>
    <col min="7866" max="7866" width="15.5546875" style="1" customWidth="1"/>
    <col min="7867" max="7867" width="13.44140625" style="1" bestFit="1" customWidth="1"/>
    <col min="7868" max="7868" width="12.33203125" style="1" bestFit="1" customWidth="1"/>
    <col min="7869" max="7869" width="12.88671875" style="1" customWidth="1"/>
    <col min="7870" max="7870" width="14" style="1" customWidth="1"/>
    <col min="7871" max="7871" width="13.33203125" style="1" customWidth="1"/>
    <col min="7872" max="7872" width="13.44140625" style="1" customWidth="1"/>
    <col min="7873" max="7873" width="12.44140625" style="1" customWidth="1"/>
    <col min="7874" max="7874" width="12.109375" style="1" customWidth="1"/>
    <col min="7875" max="7875" width="13.33203125" style="1" customWidth="1"/>
    <col min="7876" max="7876" width="12.33203125" style="1" bestFit="1" customWidth="1"/>
    <col min="7877" max="7877" width="13.5546875" style="1" customWidth="1"/>
    <col min="7878" max="7878" width="13.44140625" style="1" bestFit="1" customWidth="1"/>
    <col min="7879" max="7880" width="12.33203125" style="1" bestFit="1" customWidth="1"/>
    <col min="7881" max="7884" width="13.44140625" style="1" bestFit="1" customWidth="1"/>
    <col min="7885" max="7885" width="15.44140625" style="1" customWidth="1"/>
    <col min="7886" max="7886" width="14.6640625" style="1" customWidth="1"/>
    <col min="7887" max="7887" width="15.109375" style="1" customWidth="1"/>
    <col min="7888" max="7888" width="15" style="1" customWidth="1"/>
    <col min="7889" max="7889" width="14.109375" style="1" customWidth="1"/>
    <col min="7890" max="7890" width="15.44140625" style="1" customWidth="1"/>
    <col min="7891" max="7891" width="17.44140625" style="1" customWidth="1"/>
    <col min="7892" max="7892" width="16.33203125" style="1" customWidth="1"/>
    <col min="7893" max="7895" width="15.5546875" style="1" customWidth="1"/>
    <col min="7896" max="7898" width="13.44140625" style="1" bestFit="1" customWidth="1"/>
    <col min="7899" max="7899" width="15.109375" style="1" customWidth="1"/>
    <col min="7900" max="7900" width="14.109375" style="1" customWidth="1"/>
    <col min="7901" max="7901" width="14.33203125" style="1" customWidth="1"/>
    <col min="7902" max="7902" width="14.88671875" style="1" customWidth="1"/>
    <col min="7903" max="7903" width="14.5546875" style="1" customWidth="1"/>
    <col min="7904" max="7904" width="16.44140625" style="1" customWidth="1"/>
    <col min="7905" max="7905" width="16.33203125" style="1" customWidth="1"/>
    <col min="7906" max="7906" width="15.88671875" style="1" customWidth="1"/>
    <col min="7907" max="7907" width="16.33203125" style="1" customWidth="1"/>
    <col min="7908" max="7908" width="17" style="1" customWidth="1"/>
    <col min="7909" max="7909" width="16.33203125" style="1" customWidth="1"/>
    <col min="7910" max="7910" width="15.109375" style="1" customWidth="1"/>
    <col min="7911" max="7911" width="14.88671875" style="1" customWidth="1"/>
    <col min="7912" max="7913" width="13.6640625" style="1" customWidth="1"/>
    <col min="7914" max="7914" width="14.109375" style="1" customWidth="1"/>
    <col min="7915" max="7915" width="15.33203125" style="1" customWidth="1"/>
    <col min="7916" max="7917" width="15.5546875" style="1" customWidth="1"/>
    <col min="7918" max="7918" width="17.5546875" style="1" customWidth="1"/>
    <col min="7919" max="7919" width="17.88671875" style="1" customWidth="1"/>
    <col min="7920" max="7920" width="17.33203125" style="1" customWidth="1"/>
    <col min="7921" max="7923" width="13.44140625" style="1" bestFit="1" customWidth="1"/>
    <col min="7924" max="7924" width="13.44140625" style="1" customWidth="1"/>
    <col min="7925" max="7926" width="13.88671875" style="1" customWidth="1"/>
    <col min="7927" max="7929" width="13.44140625" style="1" bestFit="1" customWidth="1"/>
    <col min="7930" max="7930" width="13" style="1" customWidth="1"/>
    <col min="7931" max="7931" width="13.33203125" style="1" customWidth="1"/>
    <col min="7932" max="7932" width="14.88671875" style="1" customWidth="1"/>
    <col min="7933" max="7935" width="13.44140625" style="1"/>
    <col min="7936" max="7936" width="55" style="1" bestFit="1" customWidth="1"/>
    <col min="7937" max="7941" width="10.88671875" style="1" bestFit="1" customWidth="1"/>
    <col min="7942" max="7960" width="12.33203125" style="1" bestFit="1" customWidth="1"/>
    <col min="7961" max="7962" width="10.88671875" style="1" bestFit="1" customWidth="1"/>
    <col min="7963" max="7963" width="12.33203125" style="1" bestFit="1" customWidth="1"/>
    <col min="7964" max="7964" width="10.88671875" style="1" bestFit="1" customWidth="1"/>
    <col min="7965" max="7965" width="12.33203125" style="1" customWidth="1"/>
    <col min="7966" max="7966" width="12.33203125" style="1" bestFit="1" customWidth="1"/>
    <col min="7967" max="7967" width="10.88671875" style="1" bestFit="1" customWidth="1"/>
    <col min="7968" max="7968" width="12.33203125" style="1" bestFit="1" customWidth="1"/>
    <col min="7969" max="7987" width="10.88671875" style="1" bestFit="1" customWidth="1"/>
    <col min="7988" max="8004" width="12.33203125" style="1" bestFit="1" customWidth="1"/>
    <col min="8005" max="8006" width="10.88671875" style="1" bestFit="1" customWidth="1"/>
    <col min="8007" max="8007" width="12.33203125" style="1" bestFit="1" customWidth="1"/>
    <col min="8008" max="8012" width="10.88671875" style="1" bestFit="1" customWidth="1"/>
    <col min="8013" max="8020" width="12.33203125" style="1" bestFit="1" customWidth="1"/>
    <col min="8021" max="8021" width="10.88671875" style="1" bestFit="1" customWidth="1"/>
    <col min="8022" max="8023" width="12.33203125" style="1" bestFit="1" customWidth="1"/>
    <col min="8024" max="8024" width="10.88671875" style="1" bestFit="1" customWidth="1"/>
    <col min="8025" max="8027" width="12.33203125" style="1" bestFit="1" customWidth="1"/>
    <col min="8028" max="8029" width="10.88671875" style="1" customWidth="1"/>
    <col min="8030" max="8030" width="10.88671875" style="1" bestFit="1" customWidth="1"/>
    <col min="8031" max="8031" width="10.88671875" style="1" customWidth="1"/>
    <col min="8032" max="8039" width="10.88671875" style="1" bestFit="1" customWidth="1"/>
    <col min="8040" max="8040" width="12.33203125" style="1" bestFit="1" customWidth="1"/>
    <col min="8041" max="8041" width="10.88671875" style="1" bestFit="1" customWidth="1"/>
    <col min="8042" max="8057" width="12.33203125" style="1" bestFit="1" customWidth="1"/>
    <col min="8058" max="8058" width="10.88671875" style="1" bestFit="1" customWidth="1"/>
    <col min="8059" max="8061" width="12.33203125" style="1" bestFit="1" customWidth="1"/>
    <col min="8062" max="8062" width="13.44140625" style="1" bestFit="1" customWidth="1"/>
    <col min="8063" max="8064" width="12.33203125" style="1" bestFit="1" customWidth="1"/>
    <col min="8065" max="8066" width="13.44140625" style="1" bestFit="1" customWidth="1"/>
    <col min="8067" max="8082" width="12.33203125" style="1" bestFit="1" customWidth="1"/>
    <col min="8083" max="8083" width="13.44140625" style="1" bestFit="1" customWidth="1"/>
    <col min="8084" max="8084" width="12.33203125" style="1" bestFit="1" customWidth="1"/>
    <col min="8085" max="8085" width="13.44140625" style="1" bestFit="1" customWidth="1"/>
    <col min="8086" max="8087" width="12.33203125" style="1" bestFit="1" customWidth="1"/>
    <col min="8088" max="8091" width="13.44140625" style="1" bestFit="1" customWidth="1"/>
    <col min="8092" max="8094" width="12.33203125" style="1" bestFit="1" customWidth="1"/>
    <col min="8095" max="8095" width="13.44140625" style="1" bestFit="1" customWidth="1"/>
    <col min="8096" max="8098" width="12.33203125" style="1" bestFit="1" customWidth="1"/>
    <col min="8099" max="8101" width="13.5546875" style="1" bestFit="1" customWidth="1"/>
    <col min="8102" max="8103" width="13.44140625" style="1" bestFit="1" customWidth="1"/>
    <col min="8104" max="8104" width="13.5546875" style="1" bestFit="1" customWidth="1"/>
    <col min="8105" max="8106" width="13.44140625" style="1" bestFit="1" customWidth="1"/>
    <col min="8107" max="8108" width="12.33203125" style="1" bestFit="1" customWidth="1"/>
    <col min="8109" max="8109" width="13.44140625" style="1" bestFit="1" customWidth="1"/>
    <col min="8110" max="8113" width="12.33203125" style="1" bestFit="1" customWidth="1"/>
    <col min="8114" max="8114" width="14.33203125" style="1" customWidth="1"/>
    <col min="8115" max="8115" width="13.88671875" style="1" customWidth="1"/>
    <col min="8116" max="8116" width="13.33203125" style="1" customWidth="1"/>
    <col min="8117" max="8119" width="14.5546875" style="1" customWidth="1"/>
    <col min="8120" max="8120" width="17.33203125" style="1" customWidth="1"/>
    <col min="8121" max="8121" width="14.5546875" style="1" customWidth="1"/>
    <col min="8122" max="8122" width="15.5546875" style="1" customWidth="1"/>
    <col min="8123" max="8123" width="13.44140625" style="1" bestFit="1" customWidth="1"/>
    <col min="8124" max="8124" width="12.33203125" style="1" bestFit="1" customWidth="1"/>
    <col min="8125" max="8125" width="12.88671875" style="1" customWidth="1"/>
    <col min="8126" max="8126" width="14" style="1" customWidth="1"/>
    <col min="8127" max="8127" width="13.33203125" style="1" customWidth="1"/>
    <col min="8128" max="8128" width="13.44140625" style="1" customWidth="1"/>
    <col min="8129" max="8129" width="12.44140625" style="1" customWidth="1"/>
    <col min="8130" max="8130" width="12.109375" style="1" customWidth="1"/>
    <col min="8131" max="8131" width="13.33203125" style="1" customWidth="1"/>
    <col min="8132" max="8132" width="12.33203125" style="1" bestFit="1" customWidth="1"/>
    <col min="8133" max="8133" width="13.5546875" style="1" customWidth="1"/>
    <col min="8134" max="8134" width="13.44140625" style="1" bestFit="1" customWidth="1"/>
    <col min="8135" max="8136" width="12.33203125" style="1" bestFit="1" customWidth="1"/>
    <col min="8137" max="8140" width="13.44140625" style="1" bestFit="1" customWidth="1"/>
    <col min="8141" max="8141" width="15.44140625" style="1" customWidth="1"/>
    <col min="8142" max="8142" width="14.6640625" style="1" customWidth="1"/>
    <col min="8143" max="8143" width="15.109375" style="1" customWidth="1"/>
    <col min="8144" max="8144" width="15" style="1" customWidth="1"/>
    <col min="8145" max="8145" width="14.109375" style="1" customWidth="1"/>
    <col min="8146" max="8146" width="15.44140625" style="1" customWidth="1"/>
    <col min="8147" max="8147" width="17.44140625" style="1" customWidth="1"/>
    <col min="8148" max="8148" width="16.33203125" style="1" customWidth="1"/>
    <col min="8149" max="8151" width="15.5546875" style="1" customWidth="1"/>
    <col min="8152" max="8154" width="13.44140625" style="1" bestFit="1" customWidth="1"/>
    <col min="8155" max="8155" width="15.109375" style="1" customWidth="1"/>
    <col min="8156" max="8156" width="14.109375" style="1" customWidth="1"/>
    <col min="8157" max="8157" width="14.33203125" style="1" customWidth="1"/>
    <col min="8158" max="8158" width="14.88671875" style="1" customWidth="1"/>
    <col min="8159" max="8159" width="14.5546875" style="1" customWidth="1"/>
    <col min="8160" max="8160" width="16.44140625" style="1" customWidth="1"/>
    <col min="8161" max="8161" width="16.33203125" style="1" customWidth="1"/>
    <col min="8162" max="8162" width="15.88671875" style="1" customWidth="1"/>
    <col min="8163" max="8163" width="16.33203125" style="1" customWidth="1"/>
    <col min="8164" max="8164" width="17" style="1" customWidth="1"/>
    <col min="8165" max="8165" width="16.33203125" style="1" customWidth="1"/>
    <col min="8166" max="8166" width="15.109375" style="1" customWidth="1"/>
    <col min="8167" max="8167" width="14.88671875" style="1" customWidth="1"/>
    <col min="8168" max="8169" width="13.6640625" style="1" customWidth="1"/>
    <col min="8170" max="8170" width="14.109375" style="1" customWidth="1"/>
    <col min="8171" max="8171" width="15.33203125" style="1" customWidth="1"/>
    <col min="8172" max="8173" width="15.5546875" style="1" customWidth="1"/>
    <col min="8174" max="8174" width="17.5546875" style="1" customWidth="1"/>
    <col min="8175" max="8175" width="17.88671875" style="1" customWidth="1"/>
    <col min="8176" max="8176" width="17.33203125" style="1" customWidth="1"/>
    <col min="8177" max="8179" width="13.44140625" style="1" bestFit="1" customWidth="1"/>
    <col min="8180" max="8180" width="13.44140625" style="1" customWidth="1"/>
    <col min="8181" max="8182" width="13.88671875" style="1" customWidth="1"/>
    <col min="8183" max="8185" width="13.44140625" style="1" bestFit="1" customWidth="1"/>
    <col min="8186" max="8186" width="13" style="1" customWidth="1"/>
    <col min="8187" max="8187" width="13.33203125" style="1" customWidth="1"/>
    <col min="8188" max="8188" width="14.88671875" style="1" customWidth="1"/>
    <col min="8189" max="8191" width="13.44140625" style="1"/>
    <col min="8192" max="8192" width="55" style="1" bestFit="1" customWidth="1"/>
    <col min="8193" max="8197" width="10.88671875" style="1" bestFit="1" customWidth="1"/>
    <col min="8198" max="8216" width="12.33203125" style="1" bestFit="1" customWidth="1"/>
    <col min="8217" max="8218" width="10.88671875" style="1" bestFit="1" customWidth="1"/>
    <col min="8219" max="8219" width="12.33203125" style="1" bestFit="1" customWidth="1"/>
    <col min="8220" max="8220" width="10.88671875" style="1" bestFit="1" customWidth="1"/>
    <col min="8221" max="8221" width="12.33203125" style="1" customWidth="1"/>
    <col min="8222" max="8222" width="12.33203125" style="1" bestFit="1" customWidth="1"/>
    <col min="8223" max="8223" width="10.88671875" style="1" bestFit="1" customWidth="1"/>
    <col min="8224" max="8224" width="12.33203125" style="1" bestFit="1" customWidth="1"/>
    <col min="8225" max="8243" width="10.88671875" style="1" bestFit="1" customWidth="1"/>
    <col min="8244" max="8260" width="12.33203125" style="1" bestFit="1" customWidth="1"/>
    <col min="8261" max="8262" width="10.88671875" style="1" bestFit="1" customWidth="1"/>
    <col min="8263" max="8263" width="12.33203125" style="1" bestFit="1" customWidth="1"/>
    <col min="8264" max="8268" width="10.88671875" style="1" bestFit="1" customWidth="1"/>
    <col min="8269" max="8276" width="12.33203125" style="1" bestFit="1" customWidth="1"/>
    <col min="8277" max="8277" width="10.88671875" style="1" bestFit="1" customWidth="1"/>
    <col min="8278" max="8279" width="12.33203125" style="1" bestFit="1" customWidth="1"/>
    <col min="8280" max="8280" width="10.88671875" style="1" bestFit="1" customWidth="1"/>
    <col min="8281" max="8283" width="12.33203125" style="1" bestFit="1" customWidth="1"/>
    <col min="8284" max="8285" width="10.88671875" style="1" customWidth="1"/>
    <col min="8286" max="8286" width="10.88671875" style="1" bestFit="1" customWidth="1"/>
    <col min="8287" max="8287" width="10.88671875" style="1" customWidth="1"/>
    <col min="8288" max="8295" width="10.88671875" style="1" bestFit="1" customWidth="1"/>
    <col min="8296" max="8296" width="12.33203125" style="1" bestFit="1" customWidth="1"/>
    <col min="8297" max="8297" width="10.88671875" style="1" bestFit="1" customWidth="1"/>
    <col min="8298" max="8313" width="12.33203125" style="1" bestFit="1" customWidth="1"/>
    <col min="8314" max="8314" width="10.88671875" style="1" bestFit="1" customWidth="1"/>
    <col min="8315" max="8317" width="12.33203125" style="1" bestFit="1" customWidth="1"/>
    <col min="8318" max="8318" width="13.44140625" style="1" bestFit="1" customWidth="1"/>
    <col min="8319" max="8320" width="12.33203125" style="1" bestFit="1" customWidth="1"/>
    <col min="8321" max="8322" width="13.44140625" style="1" bestFit="1" customWidth="1"/>
    <col min="8323" max="8338" width="12.33203125" style="1" bestFit="1" customWidth="1"/>
    <col min="8339" max="8339" width="13.44140625" style="1" bestFit="1" customWidth="1"/>
    <col min="8340" max="8340" width="12.33203125" style="1" bestFit="1" customWidth="1"/>
    <col min="8341" max="8341" width="13.44140625" style="1" bestFit="1" customWidth="1"/>
    <col min="8342" max="8343" width="12.33203125" style="1" bestFit="1" customWidth="1"/>
    <col min="8344" max="8347" width="13.44140625" style="1" bestFit="1" customWidth="1"/>
    <col min="8348" max="8350" width="12.33203125" style="1" bestFit="1" customWidth="1"/>
    <col min="8351" max="8351" width="13.44140625" style="1" bestFit="1" customWidth="1"/>
    <col min="8352" max="8354" width="12.33203125" style="1" bestFit="1" customWidth="1"/>
    <col min="8355" max="8357" width="13.5546875" style="1" bestFit="1" customWidth="1"/>
    <col min="8358" max="8359" width="13.44140625" style="1" bestFit="1" customWidth="1"/>
    <col min="8360" max="8360" width="13.5546875" style="1" bestFit="1" customWidth="1"/>
    <col min="8361" max="8362" width="13.44140625" style="1" bestFit="1" customWidth="1"/>
    <col min="8363" max="8364" width="12.33203125" style="1" bestFit="1" customWidth="1"/>
    <col min="8365" max="8365" width="13.44140625" style="1" bestFit="1" customWidth="1"/>
    <col min="8366" max="8369" width="12.33203125" style="1" bestFit="1" customWidth="1"/>
    <col min="8370" max="8370" width="14.33203125" style="1" customWidth="1"/>
    <col min="8371" max="8371" width="13.88671875" style="1" customWidth="1"/>
    <col min="8372" max="8372" width="13.33203125" style="1" customWidth="1"/>
    <col min="8373" max="8375" width="14.5546875" style="1" customWidth="1"/>
    <col min="8376" max="8376" width="17.33203125" style="1" customWidth="1"/>
    <col min="8377" max="8377" width="14.5546875" style="1" customWidth="1"/>
    <col min="8378" max="8378" width="15.5546875" style="1" customWidth="1"/>
    <col min="8379" max="8379" width="13.44140625" style="1" bestFit="1" customWidth="1"/>
    <col min="8380" max="8380" width="12.33203125" style="1" bestFit="1" customWidth="1"/>
    <col min="8381" max="8381" width="12.88671875" style="1" customWidth="1"/>
    <col min="8382" max="8382" width="14" style="1" customWidth="1"/>
    <col min="8383" max="8383" width="13.33203125" style="1" customWidth="1"/>
    <col min="8384" max="8384" width="13.44140625" style="1" customWidth="1"/>
    <col min="8385" max="8385" width="12.44140625" style="1" customWidth="1"/>
    <col min="8386" max="8386" width="12.109375" style="1" customWidth="1"/>
    <col min="8387" max="8387" width="13.33203125" style="1" customWidth="1"/>
    <col min="8388" max="8388" width="12.33203125" style="1" bestFit="1" customWidth="1"/>
    <col min="8389" max="8389" width="13.5546875" style="1" customWidth="1"/>
    <col min="8390" max="8390" width="13.44140625" style="1" bestFit="1" customWidth="1"/>
    <col min="8391" max="8392" width="12.33203125" style="1" bestFit="1" customWidth="1"/>
    <col min="8393" max="8396" width="13.44140625" style="1" bestFit="1" customWidth="1"/>
    <col min="8397" max="8397" width="15.44140625" style="1" customWidth="1"/>
    <col min="8398" max="8398" width="14.6640625" style="1" customWidth="1"/>
    <col min="8399" max="8399" width="15.109375" style="1" customWidth="1"/>
    <col min="8400" max="8400" width="15" style="1" customWidth="1"/>
    <col min="8401" max="8401" width="14.109375" style="1" customWidth="1"/>
    <col min="8402" max="8402" width="15.44140625" style="1" customWidth="1"/>
    <col min="8403" max="8403" width="17.44140625" style="1" customWidth="1"/>
    <col min="8404" max="8404" width="16.33203125" style="1" customWidth="1"/>
    <col min="8405" max="8407" width="15.5546875" style="1" customWidth="1"/>
    <col min="8408" max="8410" width="13.44140625" style="1" bestFit="1" customWidth="1"/>
    <col min="8411" max="8411" width="15.109375" style="1" customWidth="1"/>
    <col min="8412" max="8412" width="14.109375" style="1" customWidth="1"/>
    <col min="8413" max="8413" width="14.33203125" style="1" customWidth="1"/>
    <col min="8414" max="8414" width="14.88671875" style="1" customWidth="1"/>
    <col min="8415" max="8415" width="14.5546875" style="1" customWidth="1"/>
    <col min="8416" max="8416" width="16.44140625" style="1" customWidth="1"/>
    <col min="8417" max="8417" width="16.33203125" style="1" customWidth="1"/>
    <col min="8418" max="8418" width="15.88671875" style="1" customWidth="1"/>
    <col min="8419" max="8419" width="16.33203125" style="1" customWidth="1"/>
    <col min="8420" max="8420" width="17" style="1" customWidth="1"/>
    <col min="8421" max="8421" width="16.33203125" style="1" customWidth="1"/>
    <col min="8422" max="8422" width="15.109375" style="1" customWidth="1"/>
    <col min="8423" max="8423" width="14.88671875" style="1" customWidth="1"/>
    <col min="8424" max="8425" width="13.6640625" style="1" customWidth="1"/>
    <col min="8426" max="8426" width="14.109375" style="1" customWidth="1"/>
    <col min="8427" max="8427" width="15.33203125" style="1" customWidth="1"/>
    <col min="8428" max="8429" width="15.5546875" style="1" customWidth="1"/>
    <col min="8430" max="8430" width="17.5546875" style="1" customWidth="1"/>
    <col min="8431" max="8431" width="17.88671875" style="1" customWidth="1"/>
    <col min="8432" max="8432" width="17.33203125" style="1" customWidth="1"/>
    <col min="8433" max="8435" width="13.44140625" style="1" bestFit="1" customWidth="1"/>
    <col min="8436" max="8436" width="13.44140625" style="1" customWidth="1"/>
    <col min="8437" max="8438" width="13.88671875" style="1" customWidth="1"/>
    <col min="8439" max="8441" width="13.44140625" style="1" bestFit="1" customWidth="1"/>
    <col min="8442" max="8442" width="13" style="1" customWidth="1"/>
    <col min="8443" max="8443" width="13.33203125" style="1" customWidth="1"/>
    <col min="8444" max="8444" width="14.88671875" style="1" customWidth="1"/>
    <col min="8445" max="8447" width="13.44140625" style="1"/>
    <col min="8448" max="8448" width="55" style="1" bestFit="1" customWidth="1"/>
    <col min="8449" max="8453" width="10.88671875" style="1" bestFit="1" customWidth="1"/>
    <col min="8454" max="8472" width="12.33203125" style="1" bestFit="1" customWidth="1"/>
    <col min="8473" max="8474" width="10.88671875" style="1" bestFit="1" customWidth="1"/>
    <col min="8475" max="8475" width="12.33203125" style="1" bestFit="1" customWidth="1"/>
    <col min="8476" max="8476" width="10.88671875" style="1" bestFit="1" customWidth="1"/>
    <col min="8477" max="8477" width="12.33203125" style="1" customWidth="1"/>
    <col min="8478" max="8478" width="12.33203125" style="1" bestFit="1" customWidth="1"/>
    <col min="8479" max="8479" width="10.88671875" style="1" bestFit="1" customWidth="1"/>
    <col min="8480" max="8480" width="12.33203125" style="1" bestFit="1" customWidth="1"/>
    <col min="8481" max="8499" width="10.88671875" style="1" bestFit="1" customWidth="1"/>
    <col min="8500" max="8516" width="12.33203125" style="1" bestFit="1" customWidth="1"/>
    <col min="8517" max="8518" width="10.88671875" style="1" bestFit="1" customWidth="1"/>
    <col min="8519" max="8519" width="12.33203125" style="1" bestFit="1" customWidth="1"/>
    <col min="8520" max="8524" width="10.88671875" style="1" bestFit="1" customWidth="1"/>
    <col min="8525" max="8532" width="12.33203125" style="1" bestFit="1" customWidth="1"/>
    <col min="8533" max="8533" width="10.88671875" style="1" bestFit="1" customWidth="1"/>
    <col min="8534" max="8535" width="12.33203125" style="1" bestFit="1" customWidth="1"/>
    <col min="8536" max="8536" width="10.88671875" style="1" bestFit="1" customWidth="1"/>
    <col min="8537" max="8539" width="12.33203125" style="1" bestFit="1" customWidth="1"/>
    <col min="8540" max="8541" width="10.88671875" style="1" customWidth="1"/>
    <col min="8542" max="8542" width="10.88671875" style="1" bestFit="1" customWidth="1"/>
    <col min="8543" max="8543" width="10.88671875" style="1" customWidth="1"/>
    <col min="8544" max="8551" width="10.88671875" style="1" bestFit="1" customWidth="1"/>
    <col min="8552" max="8552" width="12.33203125" style="1" bestFit="1" customWidth="1"/>
    <col min="8553" max="8553" width="10.88671875" style="1" bestFit="1" customWidth="1"/>
    <col min="8554" max="8569" width="12.33203125" style="1" bestFit="1" customWidth="1"/>
    <col min="8570" max="8570" width="10.88671875" style="1" bestFit="1" customWidth="1"/>
    <col min="8571" max="8573" width="12.33203125" style="1" bestFit="1" customWidth="1"/>
    <col min="8574" max="8574" width="13.44140625" style="1" bestFit="1" customWidth="1"/>
    <col min="8575" max="8576" width="12.33203125" style="1" bestFit="1" customWidth="1"/>
    <col min="8577" max="8578" width="13.44140625" style="1" bestFit="1" customWidth="1"/>
    <col min="8579" max="8594" width="12.33203125" style="1" bestFit="1" customWidth="1"/>
    <col min="8595" max="8595" width="13.44140625" style="1" bestFit="1" customWidth="1"/>
    <col min="8596" max="8596" width="12.33203125" style="1" bestFit="1" customWidth="1"/>
    <col min="8597" max="8597" width="13.44140625" style="1" bestFit="1" customWidth="1"/>
    <col min="8598" max="8599" width="12.33203125" style="1" bestFit="1" customWidth="1"/>
    <col min="8600" max="8603" width="13.44140625" style="1" bestFit="1" customWidth="1"/>
    <col min="8604" max="8606" width="12.33203125" style="1" bestFit="1" customWidth="1"/>
    <col min="8607" max="8607" width="13.44140625" style="1" bestFit="1" customWidth="1"/>
    <col min="8608" max="8610" width="12.33203125" style="1" bestFit="1" customWidth="1"/>
    <col min="8611" max="8613" width="13.5546875" style="1" bestFit="1" customWidth="1"/>
    <col min="8614" max="8615" width="13.44140625" style="1" bestFit="1" customWidth="1"/>
    <col min="8616" max="8616" width="13.5546875" style="1" bestFit="1" customWidth="1"/>
    <col min="8617" max="8618" width="13.44140625" style="1" bestFit="1" customWidth="1"/>
    <col min="8619" max="8620" width="12.33203125" style="1" bestFit="1" customWidth="1"/>
    <col min="8621" max="8621" width="13.44140625" style="1" bestFit="1" customWidth="1"/>
    <col min="8622" max="8625" width="12.33203125" style="1" bestFit="1" customWidth="1"/>
    <col min="8626" max="8626" width="14.33203125" style="1" customWidth="1"/>
    <col min="8627" max="8627" width="13.88671875" style="1" customWidth="1"/>
    <col min="8628" max="8628" width="13.33203125" style="1" customWidth="1"/>
    <col min="8629" max="8631" width="14.5546875" style="1" customWidth="1"/>
    <col min="8632" max="8632" width="17.33203125" style="1" customWidth="1"/>
    <col min="8633" max="8633" width="14.5546875" style="1" customWidth="1"/>
    <col min="8634" max="8634" width="15.5546875" style="1" customWidth="1"/>
    <col min="8635" max="8635" width="13.44140625" style="1" bestFit="1" customWidth="1"/>
    <col min="8636" max="8636" width="12.33203125" style="1" bestFit="1" customWidth="1"/>
    <col min="8637" max="8637" width="12.88671875" style="1" customWidth="1"/>
    <col min="8638" max="8638" width="14" style="1" customWidth="1"/>
    <col min="8639" max="8639" width="13.33203125" style="1" customWidth="1"/>
    <col min="8640" max="8640" width="13.44140625" style="1" customWidth="1"/>
    <col min="8641" max="8641" width="12.44140625" style="1" customWidth="1"/>
    <col min="8642" max="8642" width="12.109375" style="1" customWidth="1"/>
    <col min="8643" max="8643" width="13.33203125" style="1" customWidth="1"/>
    <col min="8644" max="8644" width="12.33203125" style="1" bestFit="1" customWidth="1"/>
    <col min="8645" max="8645" width="13.5546875" style="1" customWidth="1"/>
    <col min="8646" max="8646" width="13.44140625" style="1" bestFit="1" customWidth="1"/>
    <col min="8647" max="8648" width="12.33203125" style="1" bestFit="1" customWidth="1"/>
    <col min="8649" max="8652" width="13.44140625" style="1" bestFit="1" customWidth="1"/>
    <col min="8653" max="8653" width="15.44140625" style="1" customWidth="1"/>
    <col min="8654" max="8654" width="14.6640625" style="1" customWidth="1"/>
    <col min="8655" max="8655" width="15.109375" style="1" customWidth="1"/>
    <col min="8656" max="8656" width="15" style="1" customWidth="1"/>
    <col min="8657" max="8657" width="14.109375" style="1" customWidth="1"/>
    <col min="8658" max="8658" width="15.44140625" style="1" customWidth="1"/>
    <col min="8659" max="8659" width="17.44140625" style="1" customWidth="1"/>
    <col min="8660" max="8660" width="16.33203125" style="1" customWidth="1"/>
    <col min="8661" max="8663" width="15.5546875" style="1" customWidth="1"/>
    <col min="8664" max="8666" width="13.44140625" style="1" bestFit="1" customWidth="1"/>
    <col min="8667" max="8667" width="15.109375" style="1" customWidth="1"/>
    <col min="8668" max="8668" width="14.109375" style="1" customWidth="1"/>
    <col min="8669" max="8669" width="14.33203125" style="1" customWidth="1"/>
    <col min="8670" max="8670" width="14.88671875" style="1" customWidth="1"/>
    <col min="8671" max="8671" width="14.5546875" style="1" customWidth="1"/>
    <col min="8672" max="8672" width="16.44140625" style="1" customWidth="1"/>
    <col min="8673" max="8673" width="16.33203125" style="1" customWidth="1"/>
    <col min="8674" max="8674" width="15.88671875" style="1" customWidth="1"/>
    <col min="8675" max="8675" width="16.33203125" style="1" customWidth="1"/>
    <col min="8676" max="8676" width="17" style="1" customWidth="1"/>
    <col min="8677" max="8677" width="16.33203125" style="1" customWidth="1"/>
    <col min="8678" max="8678" width="15.109375" style="1" customWidth="1"/>
    <col min="8679" max="8679" width="14.88671875" style="1" customWidth="1"/>
    <col min="8680" max="8681" width="13.6640625" style="1" customWidth="1"/>
    <col min="8682" max="8682" width="14.109375" style="1" customWidth="1"/>
    <col min="8683" max="8683" width="15.33203125" style="1" customWidth="1"/>
    <col min="8684" max="8685" width="15.5546875" style="1" customWidth="1"/>
    <col min="8686" max="8686" width="17.5546875" style="1" customWidth="1"/>
    <col min="8687" max="8687" width="17.88671875" style="1" customWidth="1"/>
    <col min="8688" max="8688" width="17.33203125" style="1" customWidth="1"/>
    <col min="8689" max="8691" width="13.44140625" style="1" bestFit="1" customWidth="1"/>
    <col min="8692" max="8692" width="13.44140625" style="1" customWidth="1"/>
    <col min="8693" max="8694" width="13.88671875" style="1" customWidth="1"/>
    <col min="8695" max="8697" width="13.44140625" style="1" bestFit="1" customWidth="1"/>
    <col min="8698" max="8698" width="13" style="1" customWidth="1"/>
    <col min="8699" max="8699" width="13.33203125" style="1" customWidth="1"/>
    <col min="8700" max="8700" width="14.88671875" style="1" customWidth="1"/>
    <col min="8701" max="8703" width="13.44140625" style="1"/>
    <col min="8704" max="8704" width="55" style="1" bestFit="1" customWidth="1"/>
    <col min="8705" max="8709" width="10.88671875" style="1" bestFit="1" customWidth="1"/>
    <col min="8710" max="8728" width="12.33203125" style="1" bestFit="1" customWidth="1"/>
    <col min="8729" max="8730" width="10.88671875" style="1" bestFit="1" customWidth="1"/>
    <col min="8731" max="8731" width="12.33203125" style="1" bestFit="1" customWidth="1"/>
    <col min="8732" max="8732" width="10.88671875" style="1" bestFit="1" customWidth="1"/>
    <col min="8733" max="8733" width="12.33203125" style="1" customWidth="1"/>
    <col min="8734" max="8734" width="12.33203125" style="1" bestFit="1" customWidth="1"/>
    <col min="8735" max="8735" width="10.88671875" style="1" bestFit="1" customWidth="1"/>
    <col min="8736" max="8736" width="12.33203125" style="1" bestFit="1" customWidth="1"/>
    <col min="8737" max="8755" width="10.88671875" style="1" bestFit="1" customWidth="1"/>
    <col min="8756" max="8772" width="12.33203125" style="1" bestFit="1" customWidth="1"/>
    <col min="8773" max="8774" width="10.88671875" style="1" bestFit="1" customWidth="1"/>
    <col min="8775" max="8775" width="12.33203125" style="1" bestFit="1" customWidth="1"/>
    <col min="8776" max="8780" width="10.88671875" style="1" bestFit="1" customWidth="1"/>
    <col min="8781" max="8788" width="12.33203125" style="1" bestFit="1" customWidth="1"/>
    <col min="8789" max="8789" width="10.88671875" style="1" bestFit="1" customWidth="1"/>
    <col min="8790" max="8791" width="12.33203125" style="1" bestFit="1" customWidth="1"/>
    <col min="8792" max="8792" width="10.88671875" style="1" bestFit="1" customWidth="1"/>
    <col min="8793" max="8795" width="12.33203125" style="1" bestFit="1" customWidth="1"/>
    <col min="8796" max="8797" width="10.88671875" style="1" customWidth="1"/>
    <col min="8798" max="8798" width="10.88671875" style="1" bestFit="1" customWidth="1"/>
    <col min="8799" max="8799" width="10.88671875" style="1" customWidth="1"/>
    <col min="8800" max="8807" width="10.88671875" style="1" bestFit="1" customWidth="1"/>
    <col min="8808" max="8808" width="12.33203125" style="1" bestFit="1" customWidth="1"/>
    <col min="8809" max="8809" width="10.88671875" style="1" bestFit="1" customWidth="1"/>
    <col min="8810" max="8825" width="12.33203125" style="1" bestFit="1" customWidth="1"/>
    <col min="8826" max="8826" width="10.88671875" style="1" bestFit="1" customWidth="1"/>
    <col min="8827" max="8829" width="12.33203125" style="1" bestFit="1" customWidth="1"/>
    <col min="8830" max="8830" width="13.44140625" style="1" bestFit="1" customWidth="1"/>
    <col min="8831" max="8832" width="12.33203125" style="1" bestFit="1" customWidth="1"/>
    <col min="8833" max="8834" width="13.44140625" style="1" bestFit="1" customWidth="1"/>
    <col min="8835" max="8850" width="12.33203125" style="1" bestFit="1" customWidth="1"/>
    <col min="8851" max="8851" width="13.44140625" style="1" bestFit="1" customWidth="1"/>
    <col min="8852" max="8852" width="12.33203125" style="1" bestFit="1" customWidth="1"/>
    <col min="8853" max="8853" width="13.44140625" style="1" bestFit="1" customWidth="1"/>
    <col min="8854" max="8855" width="12.33203125" style="1" bestFit="1" customWidth="1"/>
    <col min="8856" max="8859" width="13.44140625" style="1" bestFit="1" customWidth="1"/>
    <col min="8860" max="8862" width="12.33203125" style="1" bestFit="1" customWidth="1"/>
    <col min="8863" max="8863" width="13.44140625" style="1" bestFit="1" customWidth="1"/>
    <col min="8864" max="8866" width="12.33203125" style="1" bestFit="1" customWidth="1"/>
    <col min="8867" max="8869" width="13.5546875" style="1" bestFit="1" customWidth="1"/>
    <col min="8870" max="8871" width="13.44140625" style="1" bestFit="1" customWidth="1"/>
    <col min="8872" max="8872" width="13.5546875" style="1" bestFit="1" customWidth="1"/>
    <col min="8873" max="8874" width="13.44140625" style="1" bestFit="1" customWidth="1"/>
    <col min="8875" max="8876" width="12.33203125" style="1" bestFit="1" customWidth="1"/>
    <col min="8877" max="8877" width="13.44140625" style="1" bestFit="1" customWidth="1"/>
    <col min="8878" max="8881" width="12.33203125" style="1" bestFit="1" customWidth="1"/>
    <col min="8882" max="8882" width="14.33203125" style="1" customWidth="1"/>
    <col min="8883" max="8883" width="13.88671875" style="1" customWidth="1"/>
    <col min="8884" max="8884" width="13.33203125" style="1" customWidth="1"/>
    <col min="8885" max="8887" width="14.5546875" style="1" customWidth="1"/>
    <col min="8888" max="8888" width="17.33203125" style="1" customWidth="1"/>
    <col min="8889" max="8889" width="14.5546875" style="1" customWidth="1"/>
    <col min="8890" max="8890" width="15.5546875" style="1" customWidth="1"/>
    <col min="8891" max="8891" width="13.44140625" style="1" bestFit="1" customWidth="1"/>
    <col min="8892" max="8892" width="12.33203125" style="1" bestFit="1" customWidth="1"/>
    <col min="8893" max="8893" width="12.88671875" style="1" customWidth="1"/>
    <col min="8894" max="8894" width="14" style="1" customWidth="1"/>
    <col min="8895" max="8895" width="13.33203125" style="1" customWidth="1"/>
    <col min="8896" max="8896" width="13.44140625" style="1" customWidth="1"/>
    <col min="8897" max="8897" width="12.44140625" style="1" customWidth="1"/>
    <col min="8898" max="8898" width="12.109375" style="1" customWidth="1"/>
    <col min="8899" max="8899" width="13.33203125" style="1" customWidth="1"/>
    <col min="8900" max="8900" width="12.33203125" style="1" bestFit="1" customWidth="1"/>
    <col min="8901" max="8901" width="13.5546875" style="1" customWidth="1"/>
    <col min="8902" max="8902" width="13.44140625" style="1" bestFit="1" customWidth="1"/>
    <col min="8903" max="8904" width="12.33203125" style="1" bestFit="1" customWidth="1"/>
    <col min="8905" max="8908" width="13.44140625" style="1" bestFit="1" customWidth="1"/>
    <col min="8909" max="8909" width="15.44140625" style="1" customWidth="1"/>
    <col min="8910" max="8910" width="14.6640625" style="1" customWidth="1"/>
    <col min="8911" max="8911" width="15.109375" style="1" customWidth="1"/>
    <col min="8912" max="8912" width="15" style="1" customWidth="1"/>
    <col min="8913" max="8913" width="14.109375" style="1" customWidth="1"/>
    <col min="8914" max="8914" width="15.44140625" style="1" customWidth="1"/>
    <col min="8915" max="8915" width="17.44140625" style="1" customWidth="1"/>
    <col min="8916" max="8916" width="16.33203125" style="1" customWidth="1"/>
    <col min="8917" max="8919" width="15.5546875" style="1" customWidth="1"/>
    <col min="8920" max="8922" width="13.44140625" style="1" bestFit="1" customWidth="1"/>
    <col min="8923" max="8923" width="15.109375" style="1" customWidth="1"/>
    <col min="8924" max="8924" width="14.109375" style="1" customWidth="1"/>
    <col min="8925" max="8925" width="14.33203125" style="1" customWidth="1"/>
    <col min="8926" max="8926" width="14.88671875" style="1" customWidth="1"/>
    <col min="8927" max="8927" width="14.5546875" style="1" customWidth="1"/>
    <col min="8928" max="8928" width="16.44140625" style="1" customWidth="1"/>
    <col min="8929" max="8929" width="16.33203125" style="1" customWidth="1"/>
    <col min="8930" max="8930" width="15.88671875" style="1" customWidth="1"/>
    <col min="8931" max="8931" width="16.33203125" style="1" customWidth="1"/>
    <col min="8932" max="8932" width="17" style="1" customWidth="1"/>
    <col min="8933" max="8933" width="16.33203125" style="1" customWidth="1"/>
    <col min="8934" max="8934" width="15.109375" style="1" customWidth="1"/>
    <col min="8935" max="8935" width="14.88671875" style="1" customWidth="1"/>
    <col min="8936" max="8937" width="13.6640625" style="1" customWidth="1"/>
    <col min="8938" max="8938" width="14.109375" style="1" customWidth="1"/>
    <col min="8939" max="8939" width="15.33203125" style="1" customWidth="1"/>
    <col min="8940" max="8941" width="15.5546875" style="1" customWidth="1"/>
    <col min="8942" max="8942" width="17.5546875" style="1" customWidth="1"/>
    <col min="8943" max="8943" width="17.88671875" style="1" customWidth="1"/>
    <col min="8944" max="8944" width="17.33203125" style="1" customWidth="1"/>
    <col min="8945" max="8947" width="13.44140625" style="1" bestFit="1" customWidth="1"/>
    <col min="8948" max="8948" width="13.44140625" style="1" customWidth="1"/>
    <col min="8949" max="8950" width="13.88671875" style="1" customWidth="1"/>
    <col min="8951" max="8953" width="13.44140625" style="1" bestFit="1" customWidth="1"/>
    <col min="8954" max="8954" width="13" style="1" customWidth="1"/>
    <col min="8955" max="8955" width="13.33203125" style="1" customWidth="1"/>
    <col min="8956" max="8956" width="14.88671875" style="1" customWidth="1"/>
    <col min="8957" max="8959" width="13.44140625" style="1"/>
    <col min="8960" max="8960" width="55" style="1" bestFit="1" customWidth="1"/>
    <col min="8961" max="8965" width="10.88671875" style="1" bestFit="1" customWidth="1"/>
    <col min="8966" max="8984" width="12.33203125" style="1" bestFit="1" customWidth="1"/>
    <col min="8985" max="8986" width="10.88671875" style="1" bestFit="1" customWidth="1"/>
    <col min="8987" max="8987" width="12.33203125" style="1" bestFit="1" customWidth="1"/>
    <col min="8988" max="8988" width="10.88671875" style="1" bestFit="1" customWidth="1"/>
    <col min="8989" max="8989" width="12.33203125" style="1" customWidth="1"/>
    <col min="8990" max="8990" width="12.33203125" style="1" bestFit="1" customWidth="1"/>
    <col min="8991" max="8991" width="10.88671875" style="1" bestFit="1" customWidth="1"/>
    <col min="8992" max="8992" width="12.33203125" style="1" bestFit="1" customWidth="1"/>
    <col min="8993" max="9011" width="10.88671875" style="1" bestFit="1" customWidth="1"/>
    <col min="9012" max="9028" width="12.33203125" style="1" bestFit="1" customWidth="1"/>
    <col min="9029" max="9030" width="10.88671875" style="1" bestFit="1" customWidth="1"/>
    <col min="9031" max="9031" width="12.33203125" style="1" bestFit="1" customWidth="1"/>
    <col min="9032" max="9036" width="10.88671875" style="1" bestFit="1" customWidth="1"/>
    <col min="9037" max="9044" width="12.33203125" style="1" bestFit="1" customWidth="1"/>
    <col min="9045" max="9045" width="10.88671875" style="1" bestFit="1" customWidth="1"/>
    <col min="9046" max="9047" width="12.33203125" style="1" bestFit="1" customWidth="1"/>
    <col min="9048" max="9048" width="10.88671875" style="1" bestFit="1" customWidth="1"/>
    <col min="9049" max="9051" width="12.33203125" style="1" bestFit="1" customWidth="1"/>
    <col min="9052" max="9053" width="10.88671875" style="1" customWidth="1"/>
    <col min="9054" max="9054" width="10.88671875" style="1" bestFit="1" customWidth="1"/>
    <col min="9055" max="9055" width="10.88671875" style="1" customWidth="1"/>
    <col min="9056" max="9063" width="10.88671875" style="1" bestFit="1" customWidth="1"/>
    <col min="9064" max="9064" width="12.33203125" style="1" bestFit="1" customWidth="1"/>
    <col min="9065" max="9065" width="10.88671875" style="1" bestFit="1" customWidth="1"/>
    <col min="9066" max="9081" width="12.33203125" style="1" bestFit="1" customWidth="1"/>
    <col min="9082" max="9082" width="10.88671875" style="1" bestFit="1" customWidth="1"/>
    <col min="9083" max="9085" width="12.33203125" style="1" bestFit="1" customWidth="1"/>
    <col min="9086" max="9086" width="13.44140625" style="1" bestFit="1" customWidth="1"/>
    <col min="9087" max="9088" width="12.33203125" style="1" bestFit="1" customWidth="1"/>
    <col min="9089" max="9090" width="13.44140625" style="1" bestFit="1" customWidth="1"/>
    <col min="9091" max="9106" width="12.33203125" style="1" bestFit="1" customWidth="1"/>
    <col min="9107" max="9107" width="13.44140625" style="1" bestFit="1" customWidth="1"/>
    <col min="9108" max="9108" width="12.33203125" style="1" bestFit="1" customWidth="1"/>
    <col min="9109" max="9109" width="13.44140625" style="1" bestFit="1" customWidth="1"/>
    <col min="9110" max="9111" width="12.33203125" style="1" bestFit="1" customWidth="1"/>
    <col min="9112" max="9115" width="13.44140625" style="1" bestFit="1" customWidth="1"/>
    <col min="9116" max="9118" width="12.33203125" style="1" bestFit="1" customWidth="1"/>
    <col min="9119" max="9119" width="13.44140625" style="1" bestFit="1" customWidth="1"/>
    <col min="9120" max="9122" width="12.33203125" style="1" bestFit="1" customWidth="1"/>
    <col min="9123" max="9125" width="13.5546875" style="1" bestFit="1" customWidth="1"/>
    <col min="9126" max="9127" width="13.44140625" style="1" bestFit="1" customWidth="1"/>
    <col min="9128" max="9128" width="13.5546875" style="1" bestFit="1" customWidth="1"/>
    <col min="9129" max="9130" width="13.44140625" style="1" bestFit="1" customWidth="1"/>
    <col min="9131" max="9132" width="12.33203125" style="1" bestFit="1" customWidth="1"/>
    <col min="9133" max="9133" width="13.44140625" style="1" bestFit="1" customWidth="1"/>
    <col min="9134" max="9137" width="12.33203125" style="1" bestFit="1" customWidth="1"/>
    <col min="9138" max="9138" width="14.33203125" style="1" customWidth="1"/>
    <col min="9139" max="9139" width="13.88671875" style="1" customWidth="1"/>
    <col min="9140" max="9140" width="13.33203125" style="1" customWidth="1"/>
    <col min="9141" max="9143" width="14.5546875" style="1" customWidth="1"/>
    <col min="9144" max="9144" width="17.33203125" style="1" customWidth="1"/>
    <col min="9145" max="9145" width="14.5546875" style="1" customWidth="1"/>
    <col min="9146" max="9146" width="15.5546875" style="1" customWidth="1"/>
    <col min="9147" max="9147" width="13.44140625" style="1" bestFit="1" customWidth="1"/>
    <col min="9148" max="9148" width="12.33203125" style="1" bestFit="1" customWidth="1"/>
    <col min="9149" max="9149" width="12.88671875" style="1" customWidth="1"/>
    <col min="9150" max="9150" width="14" style="1" customWidth="1"/>
    <col min="9151" max="9151" width="13.33203125" style="1" customWidth="1"/>
    <col min="9152" max="9152" width="13.44140625" style="1" customWidth="1"/>
    <col min="9153" max="9153" width="12.44140625" style="1" customWidth="1"/>
    <col min="9154" max="9154" width="12.109375" style="1" customWidth="1"/>
    <col min="9155" max="9155" width="13.33203125" style="1" customWidth="1"/>
    <col min="9156" max="9156" width="12.33203125" style="1" bestFit="1" customWidth="1"/>
    <col min="9157" max="9157" width="13.5546875" style="1" customWidth="1"/>
    <col min="9158" max="9158" width="13.44140625" style="1" bestFit="1" customWidth="1"/>
    <col min="9159" max="9160" width="12.33203125" style="1" bestFit="1" customWidth="1"/>
    <col min="9161" max="9164" width="13.44140625" style="1" bestFit="1" customWidth="1"/>
    <col min="9165" max="9165" width="15.44140625" style="1" customWidth="1"/>
    <col min="9166" max="9166" width="14.6640625" style="1" customWidth="1"/>
    <col min="9167" max="9167" width="15.109375" style="1" customWidth="1"/>
    <col min="9168" max="9168" width="15" style="1" customWidth="1"/>
    <col min="9169" max="9169" width="14.109375" style="1" customWidth="1"/>
    <col min="9170" max="9170" width="15.44140625" style="1" customWidth="1"/>
    <col min="9171" max="9171" width="17.44140625" style="1" customWidth="1"/>
    <col min="9172" max="9172" width="16.33203125" style="1" customWidth="1"/>
    <col min="9173" max="9175" width="15.5546875" style="1" customWidth="1"/>
    <col min="9176" max="9178" width="13.44140625" style="1" bestFit="1" customWidth="1"/>
    <col min="9179" max="9179" width="15.109375" style="1" customWidth="1"/>
    <col min="9180" max="9180" width="14.109375" style="1" customWidth="1"/>
    <col min="9181" max="9181" width="14.33203125" style="1" customWidth="1"/>
    <col min="9182" max="9182" width="14.88671875" style="1" customWidth="1"/>
    <col min="9183" max="9183" width="14.5546875" style="1" customWidth="1"/>
    <col min="9184" max="9184" width="16.44140625" style="1" customWidth="1"/>
    <col min="9185" max="9185" width="16.33203125" style="1" customWidth="1"/>
    <col min="9186" max="9186" width="15.88671875" style="1" customWidth="1"/>
    <col min="9187" max="9187" width="16.33203125" style="1" customWidth="1"/>
    <col min="9188" max="9188" width="17" style="1" customWidth="1"/>
    <col min="9189" max="9189" width="16.33203125" style="1" customWidth="1"/>
    <col min="9190" max="9190" width="15.109375" style="1" customWidth="1"/>
    <col min="9191" max="9191" width="14.88671875" style="1" customWidth="1"/>
    <col min="9192" max="9193" width="13.6640625" style="1" customWidth="1"/>
    <col min="9194" max="9194" width="14.109375" style="1" customWidth="1"/>
    <col min="9195" max="9195" width="15.33203125" style="1" customWidth="1"/>
    <col min="9196" max="9197" width="15.5546875" style="1" customWidth="1"/>
    <col min="9198" max="9198" width="17.5546875" style="1" customWidth="1"/>
    <col min="9199" max="9199" width="17.88671875" style="1" customWidth="1"/>
    <col min="9200" max="9200" width="17.33203125" style="1" customWidth="1"/>
    <col min="9201" max="9203" width="13.44140625" style="1" bestFit="1" customWidth="1"/>
    <col min="9204" max="9204" width="13.44140625" style="1" customWidth="1"/>
    <col min="9205" max="9206" width="13.88671875" style="1" customWidth="1"/>
    <col min="9207" max="9209" width="13.44140625" style="1" bestFit="1" customWidth="1"/>
    <col min="9210" max="9210" width="13" style="1" customWidth="1"/>
    <col min="9211" max="9211" width="13.33203125" style="1" customWidth="1"/>
    <col min="9212" max="9212" width="14.88671875" style="1" customWidth="1"/>
    <col min="9213" max="9215" width="13.44140625" style="1"/>
    <col min="9216" max="9216" width="55" style="1" bestFit="1" customWidth="1"/>
    <col min="9217" max="9221" width="10.88671875" style="1" bestFit="1" customWidth="1"/>
    <col min="9222" max="9240" width="12.33203125" style="1" bestFit="1" customWidth="1"/>
    <col min="9241" max="9242" width="10.88671875" style="1" bestFit="1" customWidth="1"/>
    <col min="9243" max="9243" width="12.33203125" style="1" bestFit="1" customWidth="1"/>
    <col min="9244" max="9244" width="10.88671875" style="1" bestFit="1" customWidth="1"/>
    <col min="9245" max="9245" width="12.33203125" style="1" customWidth="1"/>
    <col min="9246" max="9246" width="12.33203125" style="1" bestFit="1" customWidth="1"/>
    <col min="9247" max="9247" width="10.88671875" style="1" bestFit="1" customWidth="1"/>
    <col min="9248" max="9248" width="12.33203125" style="1" bestFit="1" customWidth="1"/>
    <col min="9249" max="9267" width="10.88671875" style="1" bestFit="1" customWidth="1"/>
    <col min="9268" max="9284" width="12.33203125" style="1" bestFit="1" customWidth="1"/>
    <col min="9285" max="9286" width="10.88671875" style="1" bestFit="1" customWidth="1"/>
    <col min="9287" max="9287" width="12.33203125" style="1" bestFit="1" customWidth="1"/>
    <col min="9288" max="9292" width="10.88671875" style="1" bestFit="1" customWidth="1"/>
    <col min="9293" max="9300" width="12.33203125" style="1" bestFit="1" customWidth="1"/>
    <col min="9301" max="9301" width="10.88671875" style="1" bestFit="1" customWidth="1"/>
    <col min="9302" max="9303" width="12.33203125" style="1" bestFit="1" customWidth="1"/>
    <col min="9304" max="9304" width="10.88671875" style="1" bestFit="1" customWidth="1"/>
    <col min="9305" max="9307" width="12.33203125" style="1" bestFit="1" customWidth="1"/>
    <col min="9308" max="9309" width="10.88671875" style="1" customWidth="1"/>
    <col min="9310" max="9310" width="10.88671875" style="1" bestFit="1" customWidth="1"/>
    <col min="9311" max="9311" width="10.88671875" style="1" customWidth="1"/>
    <col min="9312" max="9319" width="10.88671875" style="1" bestFit="1" customWidth="1"/>
    <col min="9320" max="9320" width="12.33203125" style="1" bestFit="1" customWidth="1"/>
    <col min="9321" max="9321" width="10.88671875" style="1" bestFit="1" customWidth="1"/>
    <col min="9322" max="9337" width="12.33203125" style="1" bestFit="1" customWidth="1"/>
    <col min="9338" max="9338" width="10.88671875" style="1" bestFit="1" customWidth="1"/>
    <col min="9339" max="9341" width="12.33203125" style="1" bestFit="1" customWidth="1"/>
    <col min="9342" max="9342" width="13.44140625" style="1" bestFit="1" customWidth="1"/>
    <col min="9343" max="9344" width="12.33203125" style="1" bestFit="1" customWidth="1"/>
    <col min="9345" max="9346" width="13.44140625" style="1" bestFit="1" customWidth="1"/>
    <col min="9347" max="9362" width="12.33203125" style="1" bestFit="1" customWidth="1"/>
    <col min="9363" max="9363" width="13.44140625" style="1" bestFit="1" customWidth="1"/>
    <col min="9364" max="9364" width="12.33203125" style="1" bestFit="1" customWidth="1"/>
    <col min="9365" max="9365" width="13.44140625" style="1" bestFit="1" customWidth="1"/>
    <col min="9366" max="9367" width="12.33203125" style="1" bestFit="1" customWidth="1"/>
    <col min="9368" max="9371" width="13.44140625" style="1" bestFit="1" customWidth="1"/>
    <col min="9372" max="9374" width="12.33203125" style="1" bestFit="1" customWidth="1"/>
    <col min="9375" max="9375" width="13.44140625" style="1" bestFit="1" customWidth="1"/>
    <col min="9376" max="9378" width="12.33203125" style="1" bestFit="1" customWidth="1"/>
    <col min="9379" max="9381" width="13.5546875" style="1" bestFit="1" customWidth="1"/>
    <col min="9382" max="9383" width="13.44140625" style="1" bestFit="1" customWidth="1"/>
    <col min="9384" max="9384" width="13.5546875" style="1" bestFit="1" customWidth="1"/>
    <col min="9385" max="9386" width="13.44140625" style="1" bestFit="1" customWidth="1"/>
    <col min="9387" max="9388" width="12.33203125" style="1" bestFit="1" customWidth="1"/>
    <col min="9389" max="9389" width="13.44140625" style="1" bestFit="1" customWidth="1"/>
    <col min="9390" max="9393" width="12.33203125" style="1" bestFit="1" customWidth="1"/>
    <col min="9394" max="9394" width="14.33203125" style="1" customWidth="1"/>
    <col min="9395" max="9395" width="13.88671875" style="1" customWidth="1"/>
    <col min="9396" max="9396" width="13.33203125" style="1" customWidth="1"/>
    <col min="9397" max="9399" width="14.5546875" style="1" customWidth="1"/>
    <col min="9400" max="9400" width="17.33203125" style="1" customWidth="1"/>
    <col min="9401" max="9401" width="14.5546875" style="1" customWidth="1"/>
    <col min="9402" max="9402" width="15.5546875" style="1" customWidth="1"/>
    <col min="9403" max="9403" width="13.44140625" style="1" bestFit="1" customWidth="1"/>
    <col min="9404" max="9404" width="12.33203125" style="1" bestFit="1" customWidth="1"/>
    <col min="9405" max="9405" width="12.88671875" style="1" customWidth="1"/>
    <col min="9406" max="9406" width="14" style="1" customWidth="1"/>
    <col min="9407" max="9407" width="13.33203125" style="1" customWidth="1"/>
    <col min="9408" max="9408" width="13.44140625" style="1" customWidth="1"/>
    <col min="9409" max="9409" width="12.44140625" style="1" customWidth="1"/>
    <col min="9410" max="9410" width="12.109375" style="1" customWidth="1"/>
    <col min="9411" max="9411" width="13.33203125" style="1" customWidth="1"/>
    <col min="9412" max="9412" width="12.33203125" style="1" bestFit="1" customWidth="1"/>
    <col min="9413" max="9413" width="13.5546875" style="1" customWidth="1"/>
    <col min="9414" max="9414" width="13.44140625" style="1" bestFit="1" customWidth="1"/>
    <col min="9415" max="9416" width="12.33203125" style="1" bestFit="1" customWidth="1"/>
    <col min="9417" max="9420" width="13.44140625" style="1" bestFit="1" customWidth="1"/>
    <col min="9421" max="9421" width="15.44140625" style="1" customWidth="1"/>
    <col min="9422" max="9422" width="14.6640625" style="1" customWidth="1"/>
    <col min="9423" max="9423" width="15.109375" style="1" customWidth="1"/>
    <col min="9424" max="9424" width="15" style="1" customWidth="1"/>
    <col min="9425" max="9425" width="14.109375" style="1" customWidth="1"/>
    <col min="9426" max="9426" width="15.44140625" style="1" customWidth="1"/>
    <col min="9427" max="9427" width="17.44140625" style="1" customWidth="1"/>
    <col min="9428" max="9428" width="16.33203125" style="1" customWidth="1"/>
    <col min="9429" max="9431" width="15.5546875" style="1" customWidth="1"/>
    <col min="9432" max="9434" width="13.44140625" style="1" bestFit="1" customWidth="1"/>
    <col min="9435" max="9435" width="15.109375" style="1" customWidth="1"/>
    <col min="9436" max="9436" width="14.109375" style="1" customWidth="1"/>
    <col min="9437" max="9437" width="14.33203125" style="1" customWidth="1"/>
    <col min="9438" max="9438" width="14.88671875" style="1" customWidth="1"/>
    <col min="9439" max="9439" width="14.5546875" style="1" customWidth="1"/>
    <col min="9440" max="9440" width="16.44140625" style="1" customWidth="1"/>
    <col min="9441" max="9441" width="16.33203125" style="1" customWidth="1"/>
    <col min="9442" max="9442" width="15.88671875" style="1" customWidth="1"/>
    <col min="9443" max="9443" width="16.33203125" style="1" customWidth="1"/>
    <col min="9444" max="9444" width="17" style="1" customWidth="1"/>
    <col min="9445" max="9445" width="16.33203125" style="1" customWidth="1"/>
    <col min="9446" max="9446" width="15.109375" style="1" customWidth="1"/>
    <col min="9447" max="9447" width="14.88671875" style="1" customWidth="1"/>
    <col min="9448" max="9449" width="13.6640625" style="1" customWidth="1"/>
    <col min="9450" max="9450" width="14.109375" style="1" customWidth="1"/>
    <col min="9451" max="9451" width="15.33203125" style="1" customWidth="1"/>
    <col min="9452" max="9453" width="15.5546875" style="1" customWidth="1"/>
    <col min="9454" max="9454" width="17.5546875" style="1" customWidth="1"/>
    <col min="9455" max="9455" width="17.88671875" style="1" customWidth="1"/>
    <col min="9456" max="9456" width="17.33203125" style="1" customWidth="1"/>
    <col min="9457" max="9459" width="13.44140625" style="1" bestFit="1" customWidth="1"/>
    <col min="9460" max="9460" width="13.44140625" style="1" customWidth="1"/>
    <col min="9461" max="9462" width="13.88671875" style="1" customWidth="1"/>
    <col min="9463" max="9465" width="13.44140625" style="1" bestFit="1" customWidth="1"/>
    <col min="9466" max="9466" width="13" style="1" customWidth="1"/>
    <col min="9467" max="9467" width="13.33203125" style="1" customWidth="1"/>
    <col min="9468" max="9468" width="14.88671875" style="1" customWidth="1"/>
    <col min="9469" max="9471" width="13.44140625" style="1"/>
    <col min="9472" max="9472" width="55" style="1" bestFit="1" customWidth="1"/>
    <col min="9473" max="9477" width="10.88671875" style="1" bestFit="1" customWidth="1"/>
    <col min="9478" max="9496" width="12.33203125" style="1" bestFit="1" customWidth="1"/>
    <col min="9497" max="9498" width="10.88671875" style="1" bestFit="1" customWidth="1"/>
    <col min="9499" max="9499" width="12.33203125" style="1" bestFit="1" customWidth="1"/>
    <col min="9500" max="9500" width="10.88671875" style="1" bestFit="1" customWidth="1"/>
    <col min="9501" max="9501" width="12.33203125" style="1" customWidth="1"/>
    <col min="9502" max="9502" width="12.33203125" style="1" bestFit="1" customWidth="1"/>
    <col min="9503" max="9503" width="10.88671875" style="1" bestFit="1" customWidth="1"/>
    <col min="9504" max="9504" width="12.33203125" style="1" bestFit="1" customWidth="1"/>
    <col min="9505" max="9523" width="10.88671875" style="1" bestFit="1" customWidth="1"/>
    <col min="9524" max="9540" width="12.33203125" style="1" bestFit="1" customWidth="1"/>
    <col min="9541" max="9542" width="10.88671875" style="1" bestFit="1" customWidth="1"/>
    <col min="9543" max="9543" width="12.33203125" style="1" bestFit="1" customWidth="1"/>
    <col min="9544" max="9548" width="10.88671875" style="1" bestFit="1" customWidth="1"/>
    <col min="9549" max="9556" width="12.33203125" style="1" bestFit="1" customWidth="1"/>
    <col min="9557" max="9557" width="10.88671875" style="1" bestFit="1" customWidth="1"/>
    <col min="9558" max="9559" width="12.33203125" style="1" bestFit="1" customWidth="1"/>
    <col min="9560" max="9560" width="10.88671875" style="1" bestFit="1" customWidth="1"/>
    <col min="9561" max="9563" width="12.33203125" style="1" bestFit="1" customWidth="1"/>
    <col min="9564" max="9565" width="10.88671875" style="1" customWidth="1"/>
    <col min="9566" max="9566" width="10.88671875" style="1" bestFit="1" customWidth="1"/>
    <col min="9567" max="9567" width="10.88671875" style="1" customWidth="1"/>
    <col min="9568" max="9575" width="10.88671875" style="1" bestFit="1" customWidth="1"/>
    <col min="9576" max="9576" width="12.33203125" style="1" bestFit="1" customWidth="1"/>
    <col min="9577" max="9577" width="10.88671875" style="1" bestFit="1" customWidth="1"/>
    <col min="9578" max="9593" width="12.33203125" style="1" bestFit="1" customWidth="1"/>
    <col min="9594" max="9594" width="10.88671875" style="1" bestFit="1" customWidth="1"/>
    <col min="9595" max="9597" width="12.33203125" style="1" bestFit="1" customWidth="1"/>
    <col min="9598" max="9598" width="13.44140625" style="1" bestFit="1" customWidth="1"/>
    <col min="9599" max="9600" width="12.33203125" style="1" bestFit="1" customWidth="1"/>
    <col min="9601" max="9602" width="13.44140625" style="1" bestFit="1" customWidth="1"/>
    <col min="9603" max="9618" width="12.33203125" style="1" bestFit="1" customWidth="1"/>
    <col min="9619" max="9619" width="13.44140625" style="1" bestFit="1" customWidth="1"/>
    <col min="9620" max="9620" width="12.33203125" style="1" bestFit="1" customWidth="1"/>
    <col min="9621" max="9621" width="13.44140625" style="1" bestFit="1" customWidth="1"/>
    <col min="9622" max="9623" width="12.33203125" style="1" bestFit="1" customWidth="1"/>
    <col min="9624" max="9627" width="13.44140625" style="1" bestFit="1" customWidth="1"/>
    <col min="9628" max="9630" width="12.33203125" style="1" bestFit="1" customWidth="1"/>
    <col min="9631" max="9631" width="13.44140625" style="1" bestFit="1" customWidth="1"/>
    <col min="9632" max="9634" width="12.33203125" style="1" bestFit="1" customWidth="1"/>
    <col min="9635" max="9637" width="13.5546875" style="1" bestFit="1" customWidth="1"/>
    <col min="9638" max="9639" width="13.44140625" style="1" bestFit="1" customWidth="1"/>
    <col min="9640" max="9640" width="13.5546875" style="1" bestFit="1" customWidth="1"/>
    <col min="9641" max="9642" width="13.44140625" style="1" bestFit="1" customWidth="1"/>
    <col min="9643" max="9644" width="12.33203125" style="1" bestFit="1" customWidth="1"/>
    <col min="9645" max="9645" width="13.44140625" style="1" bestFit="1" customWidth="1"/>
    <col min="9646" max="9649" width="12.33203125" style="1" bestFit="1" customWidth="1"/>
    <col min="9650" max="9650" width="14.33203125" style="1" customWidth="1"/>
    <col min="9651" max="9651" width="13.88671875" style="1" customWidth="1"/>
    <col min="9652" max="9652" width="13.33203125" style="1" customWidth="1"/>
    <col min="9653" max="9655" width="14.5546875" style="1" customWidth="1"/>
    <col min="9656" max="9656" width="17.33203125" style="1" customWidth="1"/>
    <col min="9657" max="9657" width="14.5546875" style="1" customWidth="1"/>
    <col min="9658" max="9658" width="15.5546875" style="1" customWidth="1"/>
    <col min="9659" max="9659" width="13.44140625" style="1" bestFit="1" customWidth="1"/>
    <col min="9660" max="9660" width="12.33203125" style="1" bestFit="1" customWidth="1"/>
    <col min="9661" max="9661" width="12.88671875" style="1" customWidth="1"/>
    <col min="9662" max="9662" width="14" style="1" customWidth="1"/>
    <col min="9663" max="9663" width="13.33203125" style="1" customWidth="1"/>
    <col min="9664" max="9664" width="13.44140625" style="1" customWidth="1"/>
    <col min="9665" max="9665" width="12.44140625" style="1" customWidth="1"/>
    <col min="9666" max="9666" width="12.109375" style="1" customWidth="1"/>
    <col min="9667" max="9667" width="13.33203125" style="1" customWidth="1"/>
    <col min="9668" max="9668" width="12.33203125" style="1" bestFit="1" customWidth="1"/>
    <col min="9669" max="9669" width="13.5546875" style="1" customWidth="1"/>
    <col min="9670" max="9670" width="13.44140625" style="1" bestFit="1" customWidth="1"/>
    <col min="9671" max="9672" width="12.33203125" style="1" bestFit="1" customWidth="1"/>
    <col min="9673" max="9676" width="13.44140625" style="1" bestFit="1" customWidth="1"/>
    <col min="9677" max="9677" width="15.44140625" style="1" customWidth="1"/>
    <col min="9678" max="9678" width="14.6640625" style="1" customWidth="1"/>
    <col min="9679" max="9679" width="15.109375" style="1" customWidth="1"/>
    <col min="9680" max="9680" width="15" style="1" customWidth="1"/>
    <col min="9681" max="9681" width="14.109375" style="1" customWidth="1"/>
    <col min="9682" max="9682" width="15.44140625" style="1" customWidth="1"/>
    <col min="9683" max="9683" width="17.44140625" style="1" customWidth="1"/>
    <col min="9684" max="9684" width="16.33203125" style="1" customWidth="1"/>
    <col min="9685" max="9687" width="15.5546875" style="1" customWidth="1"/>
    <col min="9688" max="9690" width="13.44140625" style="1" bestFit="1" customWidth="1"/>
    <col min="9691" max="9691" width="15.109375" style="1" customWidth="1"/>
    <col min="9692" max="9692" width="14.109375" style="1" customWidth="1"/>
    <col min="9693" max="9693" width="14.33203125" style="1" customWidth="1"/>
    <col min="9694" max="9694" width="14.88671875" style="1" customWidth="1"/>
    <col min="9695" max="9695" width="14.5546875" style="1" customWidth="1"/>
    <col min="9696" max="9696" width="16.44140625" style="1" customWidth="1"/>
    <col min="9697" max="9697" width="16.33203125" style="1" customWidth="1"/>
    <col min="9698" max="9698" width="15.88671875" style="1" customWidth="1"/>
    <col min="9699" max="9699" width="16.33203125" style="1" customWidth="1"/>
    <col min="9700" max="9700" width="17" style="1" customWidth="1"/>
    <col min="9701" max="9701" width="16.33203125" style="1" customWidth="1"/>
    <col min="9702" max="9702" width="15.109375" style="1" customWidth="1"/>
    <col min="9703" max="9703" width="14.88671875" style="1" customWidth="1"/>
    <col min="9704" max="9705" width="13.6640625" style="1" customWidth="1"/>
    <col min="9706" max="9706" width="14.109375" style="1" customWidth="1"/>
    <col min="9707" max="9707" width="15.33203125" style="1" customWidth="1"/>
    <col min="9708" max="9709" width="15.5546875" style="1" customWidth="1"/>
    <col min="9710" max="9710" width="17.5546875" style="1" customWidth="1"/>
    <col min="9711" max="9711" width="17.88671875" style="1" customWidth="1"/>
    <col min="9712" max="9712" width="17.33203125" style="1" customWidth="1"/>
    <col min="9713" max="9715" width="13.44140625" style="1" bestFit="1" customWidth="1"/>
    <col min="9716" max="9716" width="13.44140625" style="1" customWidth="1"/>
    <col min="9717" max="9718" width="13.88671875" style="1" customWidth="1"/>
    <col min="9719" max="9721" width="13.44140625" style="1" bestFit="1" customWidth="1"/>
    <col min="9722" max="9722" width="13" style="1" customWidth="1"/>
    <col min="9723" max="9723" width="13.33203125" style="1" customWidth="1"/>
    <col min="9724" max="9724" width="14.88671875" style="1" customWidth="1"/>
    <col min="9725" max="9727" width="13.44140625" style="1"/>
    <col min="9728" max="9728" width="55" style="1" bestFit="1" customWidth="1"/>
    <col min="9729" max="9733" width="10.88671875" style="1" bestFit="1" customWidth="1"/>
    <col min="9734" max="9752" width="12.33203125" style="1" bestFit="1" customWidth="1"/>
    <col min="9753" max="9754" width="10.88671875" style="1" bestFit="1" customWidth="1"/>
    <col min="9755" max="9755" width="12.33203125" style="1" bestFit="1" customWidth="1"/>
    <col min="9756" max="9756" width="10.88671875" style="1" bestFit="1" customWidth="1"/>
    <col min="9757" max="9757" width="12.33203125" style="1" customWidth="1"/>
    <col min="9758" max="9758" width="12.33203125" style="1" bestFit="1" customWidth="1"/>
    <col min="9759" max="9759" width="10.88671875" style="1" bestFit="1" customWidth="1"/>
    <col min="9760" max="9760" width="12.33203125" style="1" bestFit="1" customWidth="1"/>
    <col min="9761" max="9779" width="10.88671875" style="1" bestFit="1" customWidth="1"/>
    <col min="9780" max="9796" width="12.33203125" style="1" bestFit="1" customWidth="1"/>
    <col min="9797" max="9798" width="10.88671875" style="1" bestFit="1" customWidth="1"/>
    <col min="9799" max="9799" width="12.33203125" style="1" bestFit="1" customWidth="1"/>
    <col min="9800" max="9804" width="10.88671875" style="1" bestFit="1" customWidth="1"/>
    <col min="9805" max="9812" width="12.33203125" style="1" bestFit="1" customWidth="1"/>
    <col min="9813" max="9813" width="10.88671875" style="1" bestFit="1" customWidth="1"/>
    <col min="9814" max="9815" width="12.33203125" style="1" bestFit="1" customWidth="1"/>
    <col min="9816" max="9816" width="10.88671875" style="1" bestFit="1" customWidth="1"/>
    <col min="9817" max="9819" width="12.33203125" style="1" bestFit="1" customWidth="1"/>
    <col min="9820" max="9821" width="10.88671875" style="1" customWidth="1"/>
    <col min="9822" max="9822" width="10.88671875" style="1" bestFit="1" customWidth="1"/>
    <col min="9823" max="9823" width="10.88671875" style="1" customWidth="1"/>
    <col min="9824" max="9831" width="10.88671875" style="1" bestFit="1" customWidth="1"/>
    <col min="9832" max="9832" width="12.33203125" style="1" bestFit="1" customWidth="1"/>
    <col min="9833" max="9833" width="10.88671875" style="1" bestFit="1" customWidth="1"/>
    <col min="9834" max="9849" width="12.33203125" style="1" bestFit="1" customWidth="1"/>
    <col min="9850" max="9850" width="10.88671875" style="1" bestFit="1" customWidth="1"/>
    <col min="9851" max="9853" width="12.33203125" style="1" bestFit="1" customWidth="1"/>
    <col min="9854" max="9854" width="13.44140625" style="1" bestFit="1" customWidth="1"/>
    <col min="9855" max="9856" width="12.33203125" style="1" bestFit="1" customWidth="1"/>
    <col min="9857" max="9858" width="13.44140625" style="1" bestFit="1" customWidth="1"/>
    <col min="9859" max="9874" width="12.33203125" style="1" bestFit="1" customWidth="1"/>
    <col min="9875" max="9875" width="13.44140625" style="1" bestFit="1" customWidth="1"/>
    <col min="9876" max="9876" width="12.33203125" style="1" bestFit="1" customWidth="1"/>
    <col min="9877" max="9877" width="13.44140625" style="1" bestFit="1" customWidth="1"/>
    <col min="9878" max="9879" width="12.33203125" style="1" bestFit="1" customWidth="1"/>
    <col min="9880" max="9883" width="13.44140625" style="1" bestFit="1" customWidth="1"/>
    <col min="9884" max="9886" width="12.33203125" style="1" bestFit="1" customWidth="1"/>
    <col min="9887" max="9887" width="13.44140625" style="1" bestFit="1" customWidth="1"/>
    <col min="9888" max="9890" width="12.33203125" style="1" bestFit="1" customWidth="1"/>
    <col min="9891" max="9893" width="13.5546875" style="1" bestFit="1" customWidth="1"/>
    <col min="9894" max="9895" width="13.44140625" style="1" bestFit="1" customWidth="1"/>
    <col min="9896" max="9896" width="13.5546875" style="1" bestFit="1" customWidth="1"/>
    <col min="9897" max="9898" width="13.44140625" style="1" bestFit="1" customWidth="1"/>
    <col min="9899" max="9900" width="12.33203125" style="1" bestFit="1" customWidth="1"/>
    <col min="9901" max="9901" width="13.44140625" style="1" bestFit="1" customWidth="1"/>
    <col min="9902" max="9905" width="12.33203125" style="1" bestFit="1" customWidth="1"/>
    <col min="9906" max="9906" width="14.33203125" style="1" customWidth="1"/>
    <col min="9907" max="9907" width="13.88671875" style="1" customWidth="1"/>
    <col min="9908" max="9908" width="13.33203125" style="1" customWidth="1"/>
    <col min="9909" max="9911" width="14.5546875" style="1" customWidth="1"/>
    <col min="9912" max="9912" width="17.33203125" style="1" customWidth="1"/>
    <col min="9913" max="9913" width="14.5546875" style="1" customWidth="1"/>
    <col min="9914" max="9914" width="15.5546875" style="1" customWidth="1"/>
    <col min="9915" max="9915" width="13.44140625" style="1" bestFit="1" customWidth="1"/>
    <col min="9916" max="9916" width="12.33203125" style="1" bestFit="1" customWidth="1"/>
    <col min="9917" max="9917" width="12.88671875" style="1" customWidth="1"/>
    <col min="9918" max="9918" width="14" style="1" customWidth="1"/>
    <col min="9919" max="9919" width="13.33203125" style="1" customWidth="1"/>
    <col min="9920" max="9920" width="13.44140625" style="1" customWidth="1"/>
    <col min="9921" max="9921" width="12.44140625" style="1" customWidth="1"/>
    <col min="9922" max="9922" width="12.109375" style="1" customWidth="1"/>
    <col min="9923" max="9923" width="13.33203125" style="1" customWidth="1"/>
    <col min="9924" max="9924" width="12.33203125" style="1" bestFit="1" customWidth="1"/>
    <col min="9925" max="9925" width="13.5546875" style="1" customWidth="1"/>
    <col min="9926" max="9926" width="13.44140625" style="1" bestFit="1" customWidth="1"/>
    <col min="9927" max="9928" width="12.33203125" style="1" bestFit="1" customWidth="1"/>
    <col min="9929" max="9932" width="13.44140625" style="1" bestFit="1" customWidth="1"/>
    <col min="9933" max="9933" width="15.44140625" style="1" customWidth="1"/>
    <col min="9934" max="9934" width="14.6640625" style="1" customWidth="1"/>
    <col min="9935" max="9935" width="15.109375" style="1" customWidth="1"/>
    <col min="9936" max="9936" width="15" style="1" customWidth="1"/>
    <col min="9937" max="9937" width="14.109375" style="1" customWidth="1"/>
    <col min="9938" max="9938" width="15.44140625" style="1" customWidth="1"/>
    <col min="9939" max="9939" width="17.44140625" style="1" customWidth="1"/>
    <col min="9940" max="9940" width="16.33203125" style="1" customWidth="1"/>
    <col min="9941" max="9943" width="15.5546875" style="1" customWidth="1"/>
    <col min="9944" max="9946" width="13.44140625" style="1" bestFit="1" customWidth="1"/>
    <col min="9947" max="9947" width="15.109375" style="1" customWidth="1"/>
    <col min="9948" max="9948" width="14.109375" style="1" customWidth="1"/>
    <col min="9949" max="9949" width="14.33203125" style="1" customWidth="1"/>
    <col min="9950" max="9950" width="14.88671875" style="1" customWidth="1"/>
    <col min="9951" max="9951" width="14.5546875" style="1" customWidth="1"/>
    <col min="9952" max="9952" width="16.44140625" style="1" customWidth="1"/>
    <col min="9953" max="9953" width="16.33203125" style="1" customWidth="1"/>
    <col min="9954" max="9954" width="15.88671875" style="1" customWidth="1"/>
    <col min="9955" max="9955" width="16.33203125" style="1" customWidth="1"/>
    <col min="9956" max="9956" width="17" style="1" customWidth="1"/>
    <col min="9957" max="9957" width="16.33203125" style="1" customWidth="1"/>
    <col min="9958" max="9958" width="15.109375" style="1" customWidth="1"/>
    <col min="9959" max="9959" width="14.88671875" style="1" customWidth="1"/>
    <col min="9960" max="9961" width="13.6640625" style="1" customWidth="1"/>
    <col min="9962" max="9962" width="14.109375" style="1" customWidth="1"/>
    <col min="9963" max="9963" width="15.33203125" style="1" customWidth="1"/>
    <col min="9964" max="9965" width="15.5546875" style="1" customWidth="1"/>
    <col min="9966" max="9966" width="17.5546875" style="1" customWidth="1"/>
    <col min="9967" max="9967" width="17.88671875" style="1" customWidth="1"/>
    <col min="9968" max="9968" width="17.33203125" style="1" customWidth="1"/>
    <col min="9969" max="9971" width="13.44140625" style="1" bestFit="1" customWidth="1"/>
    <col min="9972" max="9972" width="13.44140625" style="1" customWidth="1"/>
    <col min="9973" max="9974" width="13.88671875" style="1" customWidth="1"/>
    <col min="9975" max="9977" width="13.44140625" style="1" bestFit="1" customWidth="1"/>
    <col min="9978" max="9978" width="13" style="1" customWidth="1"/>
    <col min="9979" max="9979" width="13.33203125" style="1" customWidth="1"/>
    <col min="9980" max="9980" width="14.88671875" style="1" customWidth="1"/>
    <col min="9981" max="9983" width="13.44140625" style="1"/>
    <col min="9984" max="9984" width="55" style="1" bestFit="1" customWidth="1"/>
    <col min="9985" max="9989" width="10.88671875" style="1" bestFit="1" customWidth="1"/>
    <col min="9990" max="10008" width="12.33203125" style="1" bestFit="1" customWidth="1"/>
    <col min="10009" max="10010" width="10.88671875" style="1" bestFit="1" customWidth="1"/>
    <col min="10011" max="10011" width="12.33203125" style="1" bestFit="1" customWidth="1"/>
    <col min="10012" max="10012" width="10.88671875" style="1" bestFit="1" customWidth="1"/>
    <col min="10013" max="10013" width="12.33203125" style="1" customWidth="1"/>
    <col min="10014" max="10014" width="12.33203125" style="1" bestFit="1" customWidth="1"/>
    <col min="10015" max="10015" width="10.88671875" style="1" bestFit="1" customWidth="1"/>
    <col min="10016" max="10016" width="12.33203125" style="1" bestFit="1" customWidth="1"/>
    <col min="10017" max="10035" width="10.88671875" style="1" bestFit="1" customWidth="1"/>
    <col min="10036" max="10052" width="12.33203125" style="1" bestFit="1" customWidth="1"/>
    <col min="10053" max="10054" width="10.88671875" style="1" bestFit="1" customWidth="1"/>
    <col min="10055" max="10055" width="12.33203125" style="1" bestFit="1" customWidth="1"/>
    <col min="10056" max="10060" width="10.88671875" style="1" bestFit="1" customWidth="1"/>
    <col min="10061" max="10068" width="12.33203125" style="1" bestFit="1" customWidth="1"/>
    <col min="10069" max="10069" width="10.88671875" style="1" bestFit="1" customWidth="1"/>
    <col min="10070" max="10071" width="12.33203125" style="1" bestFit="1" customWidth="1"/>
    <col min="10072" max="10072" width="10.88671875" style="1" bestFit="1" customWidth="1"/>
    <col min="10073" max="10075" width="12.33203125" style="1" bestFit="1" customWidth="1"/>
    <col min="10076" max="10077" width="10.88671875" style="1" customWidth="1"/>
    <col min="10078" max="10078" width="10.88671875" style="1" bestFit="1" customWidth="1"/>
    <col min="10079" max="10079" width="10.88671875" style="1" customWidth="1"/>
    <col min="10080" max="10087" width="10.88671875" style="1" bestFit="1" customWidth="1"/>
    <col min="10088" max="10088" width="12.33203125" style="1" bestFit="1" customWidth="1"/>
    <col min="10089" max="10089" width="10.88671875" style="1" bestFit="1" customWidth="1"/>
    <col min="10090" max="10105" width="12.33203125" style="1" bestFit="1" customWidth="1"/>
    <col min="10106" max="10106" width="10.88671875" style="1" bestFit="1" customWidth="1"/>
    <col min="10107" max="10109" width="12.33203125" style="1" bestFit="1" customWidth="1"/>
    <col min="10110" max="10110" width="13.44140625" style="1" bestFit="1" customWidth="1"/>
    <col min="10111" max="10112" width="12.33203125" style="1" bestFit="1" customWidth="1"/>
    <col min="10113" max="10114" width="13.44140625" style="1" bestFit="1" customWidth="1"/>
    <col min="10115" max="10130" width="12.33203125" style="1" bestFit="1" customWidth="1"/>
    <col min="10131" max="10131" width="13.44140625" style="1" bestFit="1" customWidth="1"/>
    <col min="10132" max="10132" width="12.33203125" style="1" bestFit="1" customWidth="1"/>
    <col min="10133" max="10133" width="13.44140625" style="1" bestFit="1" customWidth="1"/>
    <col min="10134" max="10135" width="12.33203125" style="1" bestFit="1" customWidth="1"/>
    <col min="10136" max="10139" width="13.44140625" style="1" bestFit="1" customWidth="1"/>
    <col min="10140" max="10142" width="12.33203125" style="1" bestFit="1" customWidth="1"/>
    <col min="10143" max="10143" width="13.44140625" style="1" bestFit="1" customWidth="1"/>
    <col min="10144" max="10146" width="12.33203125" style="1" bestFit="1" customWidth="1"/>
    <col min="10147" max="10149" width="13.5546875" style="1" bestFit="1" customWidth="1"/>
    <col min="10150" max="10151" width="13.44140625" style="1" bestFit="1" customWidth="1"/>
    <col min="10152" max="10152" width="13.5546875" style="1" bestFit="1" customWidth="1"/>
    <col min="10153" max="10154" width="13.44140625" style="1" bestFit="1" customWidth="1"/>
    <col min="10155" max="10156" width="12.33203125" style="1" bestFit="1" customWidth="1"/>
    <col min="10157" max="10157" width="13.44140625" style="1" bestFit="1" customWidth="1"/>
    <col min="10158" max="10161" width="12.33203125" style="1" bestFit="1" customWidth="1"/>
    <col min="10162" max="10162" width="14.33203125" style="1" customWidth="1"/>
    <col min="10163" max="10163" width="13.88671875" style="1" customWidth="1"/>
    <col min="10164" max="10164" width="13.33203125" style="1" customWidth="1"/>
    <col min="10165" max="10167" width="14.5546875" style="1" customWidth="1"/>
    <col min="10168" max="10168" width="17.33203125" style="1" customWidth="1"/>
    <col min="10169" max="10169" width="14.5546875" style="1" customWidth="1"/>
    <col min="10170" max="10170" width="15.5546875" style="1" customWidth="1"/>
    <col min="10171" max="10171" width="13.44140625" style="1" bestFit="1" customWidth="1"/>
    <col min="10172" max="10172" width="12.33203125" style="1" bestFit="1" customWidth="1"/>
    <col min="10173" max="10173" width="12.88671875" style="1" customWidth="1"/>
    <col min="10174" max="10174" width="14" style="1" customWidth="1"/>
    <col min="10175" max="10175" width="13.33203125" style="1" customWidth="1"/>
    <col min="10176" max="10176" width="13.44140625" style="1" customWidth="1"/>
    <col min="10177" max="10177" width="12.44140625" style="1" customWidth="1"/>
    <col min="10178" max="10178" width="12.109375" style="1" customWidth="1"/>
    <col min="10179" max="10179" width="13.33203125" style="1" customWidth="1"/>
    <col min="10180" max="10180" width="12.33203125" style="1" bestFit="1" customWidth="1"/>
    <col min="10181" max="10181" width="13.5546875" style="1" customWidth="1"/>
    <col min="10182" max="10182" width="13.44140625" style="1" bestFit="1" customWidth="1"/>
    <col min="10183" max="10184" width="12.33203125" style="1" bestFit="1" customWidth="1"/>
    <col min="10185" max="10188" width="13.44140625" style="1" bestFit="1" customWidth="1"/>
    <col min="10189" max="10189" width="15.44140625" style="1" customWidth="1"/>
    <col min="10190" max="10190" width="14.6640625" style="1" customWidth="1"/>
    <col min="10191" max="10191" width="15.109375" style="1" customWidth="1"/>
    <col min="10192" max="10192" width="15" style="1" customWidth="1"/>
    <col min="10193" max="10193" width="14.109375" style="1" customWidth="1"/>
    <col min="10194" max="10194" width="15.44140625" style="1" customWidth="1"/>
    <col min="10195" max="10195" width="17.44140625" style="1" customWidth="1"/>
    <col min="10196" max="10196" width="16.33203125" style="1" customWidth="1"/>
    <col min="10197" max="10199" width="15.5546875" style="1" customWidth="1"/>
    <col min="10200" max="10202" width="13.44140625" style="1" bestFit="1" customWidth="1"/>
    <col min="10203" max="10203" width="15.109375" style="1" customWidth="1"/>
    <col min="10204" max="10204" width="14.109375" style="1" customWidth="1"/>
    <col min="10205" max="10205" width="14.33203125" style="1" customWidth="1"/>
    <col min="10206" max="10206" width="14.88671875" style="1" customWidth="1"/>
    <col min="10207" max="10207" width="14.5546875" style="1" customWidth="1"/>
    <col min="10208" max="10208" width="16.44140625" style="1" customWidth="1"/>
    <col min="10209" max="10209" width="16.33203125" style="1" customWidth="1"/>
    <col min="10210" max="10210" width="15.88671875" style="1" customWidth="1"/>
    <col min="10211" max="10211" width="16.33203125" style="1" customWidth="1"/>
    <col min="10212" max="10212" width="17" style="1" customWidth="1"/>
    <col min="10213" max="10213" width="16.33203125" style="1" customWidth="1"/>
    <col min="10214" max="10214" width="15.109375" style="1" customWidth="1"/>
    <col min="10215" max="10215" width="14.88671875" style="1" customWidth="1"/>
    <col min="10216" max="10217" width="13.6640625" style="1" customWidth="1"/>
    <col min="10218" max="10218" width="14.109375" style="1" customWidth="1"/>
    <col min="10219" max="10219" width="15.33203125" style="1" customWidth="1"/>
    <col min="10220" max="10221" width="15.5546875" style="1" customWidth="1"/>
    <col min="10222" max="10222" width="17.5546875" style="1" customWidth="1"/>
    <col min="10223" max="10223" width="17.88671875" style="1" customWidth="1"/>
    <col min="10224" max="10224" width="17.33203125" style="1" customWidth="1"/>
    <col min="10225" max="10227" width="13.44140625" style="1" bestFit="1" customWidth="1"/>
    <col min="10228" max="10228" width="13.44140625" style="1" customWidth="1"/>
    <col min="10229" max="10230" width="13.88671875" style="1" customWidth="1"/>
    <col min="10231" max="10233" width="13.44140625" style="1" bestFit="1" customWidth="1"/>
    <col min="10234" max="10234" width="13" style="1" customWidth="1"/>
    <col min="10235" max="10235" width="13.33203125" style="1" customWidth="1"/>
    <col min="10236" max="10236" width="14.88671875" style="1" customWidth="1"/>
    <col min="10237" max="10239" width="13.44140625" style="1"/>
    <col min="10240" max="10240" width="55" style="1" bestFit="1" customWidth="1"/>
    <col min="10241" max="10245" width="10.88671875" style="1" bestFit="1" customWidth="1"/>
    <col min="10246" max="10264" width="12.33203125" style="1" bestFit="1" customWidth="1"/>
    <col min="10265" max="10266" width="10.88671875" style="1" bestFit="1" customWidth="1"/>
    <col min="10267" max="10267" width="12.33203125" style="1" bestFit="1" customWidth="1"/>
    <col min="10268" max="10268" width="10.88671875" style="1" bestFit="1" customWidth="1"/>
    <col min="10269" max="10269" width="12.33203125" style="1" customWidth="1"/>
    <col min="10270" max="10270" width="12.33203125" style="1" bestFit="1" customWidth="1"/>
    <col min="10271" max="10271" width="10.88671875" style="1" bestFit="1" customWidth="1"/>
    <col min="10272" max="10272" width="12.33203125" style="1" bestFit="1" customWidth="1"/>
    <col min="10273" max="10291" width="10.88671875" style="1" bestFit="1" customWidth="1"/>
    <col min="10292" max="10308" width="12.33203125" style="1" bestFit="1" customWidth="1"/>
    <col min="10309" max="10310" width="10.88671875" style="1" bestFit="1" customWidth="1"/>
    <col min="10311" max="10311" width="12.33203125" style="1" bestFit="1" customWidth="1"/>
    <col min="10312" max="10316" width="10.88671875" style="1" bestFit="1" customWidth="1"/>
    <col min="10317" max="10324" width="12.33203125" style="1" bestFit="1" customWidth="1"/>
    <col min="10325" max="10325" width="10.88671875" style="1" bestFit="1" customWidth="1"/>
    <col min="10326" max="10327" width="12.33203125" style="1" bestFit="1" customWidth="1"/>
    <col min="10328" max="10328" width="10.88671875" style="1" bestFit="1" customWidth="1"/>
    <col min="10329" max="10331" width="12.33203125" style="1" bestFit="1" customWidth="1"/>
    <col min="10332" max="10333" width="10.88671875" style="1" customWidth="1"/>
    <col min="10334" max="10334" width="10.88671875" style="1" bestFit="1" customWidth="1"/>
    <col min="10335" max="10335" width="10.88671875" style="1" customWidth="1"/>
    <col min="10336" max="10343" width="10.88671875" style="1" bestFit="1" customWidth="1"/>
    <col min="10344" max="10344" width="12.33203125" style="1" bestFit="1" customWidth="1"/>
    <col min="10345" max="10345" width="10.88671875" style="1" bestFit="1" customWidth="1"/>
    <col min="10346" max="10361" width="12.33203125" style="1" bestFit="1" customWidth="1"/>
    <col min="10362" max="10362" width="10.88671875" style="1" bestFit="1" customWidth="1"/>
    <col min="10363" max="10365" width="12.33203125" style="1" bestFit="1" customWidth="1"/>
    <col min="10366" max="10366" width="13.44140625" style="1" bestFit="1" customWidth="1"/>
    <col min="10367" max="10368" width="12.33203125" style="1" bestFit="1" customWidth="1"/>
    <col min="10369" max="10370" width="13.44140625" style="1" bestFit="1" customWidth="1"/>
    <col min="10371" max="10386" width="12.33203125" style="1" bestFit="1" customWidth="1"/>
    <col min="10387" max="10387" width="13.44140625" style="1" bestFit="1" customWidth="1"/>
    <col min="10388" max="10388" width="12.33203125" style="1" bestFit="1" customWidth="1"/>
    <col min="10389" max="10389" width="13.44140625" style="1" bestFit="1" customWidth="1"/>
    <col min="10390" max="10391" width="12.33203125" style="1" bestFit="1" customWidth="1"/>
    <col min="10392" max="10395" width="13.44140625" style="1" bestFit="1" customWidth="1"/>
    <col min="10396" max="10398" width="12.33203125" style="1" bestFit="1" customWidth="1"/>
    <col min="10399" max="10399" width="13.44140625" style="1" bestFit="1" customWidth="1"/>
    <col min="10400" max="10402" width="12.33203125" style="1" bestFit="1" customWidth="1"/>
    <col min="10403" max="10405" width="13.5546875" style="1" bestFit="1" customWidth="1"/>
    <col min="10406" max="10407" width="13.44140625" style="1" bestFit="1" customWidth="1"/>
    <col min="10408" max="10408" width="13.5546875" style="1" bestFit="1" customWidth="1"/>
    <col min="10409" max="10410" width="13.44140625" style="1" bestFit="1" customWidth="1"/>
    <col min="10411" max="10412" width="12.33203125" style="1" bestFit="1" customWidth="1"/>
    <col min="10413" max="10413" width="13.44140625" style="1" bestFit="1" customWidth="1"/>
    <col min="10414" max="10417" width="12.33203125" style="1" bestFit="1" customWidth="1"/>
    <col min="10418" max="10418" width="14.33203125" style="1" customWidth="1"/>
    <col min="10419" max="10419" width="13.88671875" style="1" customWidth="1"/>
    <col min="10420" max="10420" width="13.33203125" style="1" customWidth="1"/>
    <col min="10421" max="10423" width="14.5546875" style="1" customWidth="1"/>
    <col min="10424" max="10424" width="17.33203125" style="1" customWidth="1"/>
    <col min="10425" max="10425" width="14.5546875" style="1" customWidth="1"/>
    <col min="10426" max="10426" width="15.5546875" style="1" customWidth="1"/>
    <col min="10427" max="10427" width="13.44140625" style="1" bestFit="1" customWidth="1"/>
    <col min="10428" max="10428" width="12.33203125" style="1" bestFit="1" customWidth="1"/>
    <col min="10429" max="10429" width="12.88671875" style="1" customWidth="1"/>
    <col min="10430" max="10430" width="14" style="1" customWidth="1"/>
    <col min="10431" max="10431" width="13.33203125" style="1" customWidth="1"/>
    <col min="10432" max="10432" width="13.44140625" style="1" customWidth="1"/>
    <col min="10433" max="10433" width="12.44140625" style="1" customWidth="1"/>
    <col min="10434" max="10434" width="12.109375" style="1" customWidth="1"/>
    <col min="10435" max="10435" width="13.33203125" style="1" customWidth="1"/>
    <col min="10436" max="10436" width="12.33203125" style="1" bestFit="1" customWidth="1"/>
    <col min="10437" max="10437" width="13.5546875" style="1" customWidth="1"/>
    <col min="10438" max="10438" width="13.44140625" style="1" bestFit="1" customWidth="1"/>
    <col min="10439" max="10440" width="12.33203125" style="1" bestFit="1" customWidth="1"/>
    <col min="10441" max="10444" width="13.44140625" style="1" bestFit="1" customWidth="1"/>
    <col min="10445" max="10445" width="15.44140625" style="1" customWidth="1"/>
    <col min="10446" max="10446" width="14.6640625" style="1" customWidth="1"/>
    <col min="10447" max="10447" width="15.109375" style="1" customWidth="1"/>
    <col min="10448" max="10448" width="15" style="1" customWidth="1"/>
    <col min="10449" max="10449" width="14.109375" style="1" customWidth="1"/>
    <col min="10450" max="10450" width="15.44140625" style="1" customWidth="1"/>
    <col min="10451" max="10451" width="17.44140625" style="1" customWidth="1"/>
    <col min="10452" max="10452" width="16.33203125" style="1" customWidth="1"/>
    <col min="10453" max="10455" width="15.5546875" style="1" customWidth="1"/>
    <col min="10456" max="10458" width="13.44140625" style="1" bestFit="1" customWidth="1"/>
    <col min="10459" max="10459" width="15.109375" style="1" customWidth="1"/>
    <col min="10460" max="10460" width="14.109375" style="1" customWidth="1"/>
    <col min="10461" max="10461" width="14.33203125" style="1" customWidth="1"/>
    <col min="10462" max="10462" width="14.88671875" style="1" customWidth="1"/>
    <col min="10463" max="10463" width="14.5546875" style="1" customWidth="1"/>
    <col min="10464" max="10464" width="16.44140625" style="1" customWidth="1"/>
    <col min="10465" max="10465" width="16.33203125" style="1" customWidth="1"/>
    <col min="10466" max="10466" width="15.88671875" style="1" customWidth="1"/>
    <col min="10467" max="10467" width="16.33203125" style="1" customWidth="1"/>
    <col min="10468" max="10468" width="17" style="1" customWidth="1"/>
    <col min="10469" max="10469" width="16.33203125" style="1" customWidth="1"/>
    <col min="10470" max="10470" width="15.109375" style="1" customWidth="1"/>
    <col min="10471" max="10471" width="14.88671875" style="1" customWidth="1"/>
    <col min="10472" max="10473" width="13.6640625" style="1" customWidth="1"/>
    <col min="10474" max="10474" width="14.109375" style="1" customWidth="1"/>
    <col min="10475" max="10475" width="15.33203125" style="1" customWidth="1"/>
    <col min="10476" max="10477" width="15.5546875" style="1" customWidth="1"/>
    <col min="10478" max="10478" width="17.5546875" style="1" customWidth="1"/>
    <col min="10479" max="10479" width="17.88671875" style="1" customWidth="1"/>
    <col min="10480" max="10480" width="17.33203125" style="1" customWidth="1"/>
    <col min="10481" max="10483" width="13.44140625" style="1" bestFit="1" customWidth="1"/>
    <col min="10484" max="10484" width="13.44140625" style="1" customWidth="1"/>
    <col min="10485" max="10486" width="13.88671875" style="1" customWidth="1"/>
    <col min="10487" max="10489" width="13.44140625" style="1" bestFit="1" customWidth="1"/>
    <col min="10490" max="10490" width="13" style="1" customWidth="1"/>
    <col min="10491" max="10491" width="13.33203125" style="1" customWidth="1"/>
    <col min="10492" max="10492" width="14.88671875" style="1" customWidth="1"/>
    <col min="10493" max="10495" width="13.44140625" style="1"/>
    <col min="10496" max="10496" width="55" style="1" bestFit="1" customWidth="1"/>
    <col min="10497" max="10501" width="10.88671875" style="1" bestFit="1" customWidth="1"/>
    <col min="10502" max="10520" width="12.33203125" style="1" bestFit="1" customWidth="1"/>
    <col min="10521" max="10522" width="10.88671875" style="1" bestFit="1" customWidth="1"/>
    <col min="10523" max="10523" width="12.33203125" style="1" bestFit="1" customWidth="1"/>
    <col min="10524" max="10524" width="10.88671875" style="1" bestFit="1" customWidth="1"/>
    <col min="10525" max="10525" width="12.33203125" style="1" customWidth="1"/>
    <col min="10526" max="10526" width="12.33203125" style="1" bestFit="1" customWidth="1"/>
    <col min="10527" max="10527" width="10.88671875" style="1" bestFit="1" customWidth="1"/>
    <col min="10528" max="10528" width="12.33203125" style="1" bestFit="1" customWidth="1"/>
    <col min="10529" max="10547" width="10.88671875" style="1" bestFit="1" customWidth="1"/>
    <col min="10548" max="10564" width="12.33203125" style="1" bestFit="1" customWidth="1"/>
    <col min="10565" max="10566" width="10.88671875" style="1" bestFit="1" customWidth="1"/>
    <col min="10567" max="10567" width="12.33203125" style="1" bestFit="1" customWidth="1"/>
    <col min="10568" max="10572" width="10.88671875" style="1" bestFit="1" customWidth="1"/>
    <col min="10573" max="10580" width="12.33203125" style="1" bestFit="1" customWidth="1"/>
    <col min="10581" max="10581" width="10.88671875" style="1" bestFit="1" customWidth="1"/>
    <col min="10582" max="10583" width="12.33203125" style="1" bestFit="1" customWidth="1"/>
    <col min="10584" max="10584" width="10.88671875" style="1" bestFit="1" customWidth="1"/>
    <col min="10585" max="10587" width="12.33203125" style="1" bestFit="1" customWidth="1"/>
    <col min="10588" max="10589" width="10.88671875" style="1" customWidth="1"/>
    <col min="10590" max="10590" width="10.88671875" style="1" bestFit="1" customWidth="1"/>
    <col min="10591" max="10591" width="10.88671875" style="1" customWidth="1"/>
    <col min="10592" max="10599" width="10.88671875" style="1" bestFit="1" customWidth="1"/>
    <col min="10600" max="10600" width="12.33203125" style="1" bestFit="1" customWidth="1"/>
    <col min="10601" max="10601" width="10.88671875" style="1" bestFit="1" customWidth="1"/>
    <col min="10602" max="10617" width="12.33203125" style="1" bestFit="1" customWidth="1"/>
    <col min="10618" max="10618" width="10.88671875" style="1" bestFit="1" customWidth="1"/>
    <col min="10619" max="10621" width="12.33203125" style="1" bestFit="1" customWidth="1"/>
    <col min="10622" max="10622" width="13.44140625" style="1" bestFit="1" customWidth="1"/>
    <col min="10623" max="10624" width="12.33203125" style="1" bestFit="1" customWidth="1"/>
    <col min="10625" max="10626" width="13.44140625" style="1" bestFit="1" customWidth="1"/>
    <col min="10627" max="10642" width="12.33203125" style="1" bestFit="1" customWidth="1"/>
    <col min="10643" max="10643" width="13.44140625" style="1" bestFit="1" customWidth="1"/>
    <col min="10644" max="10644" width="12.33203125" style="1" bestFit="1" customWidth="1"/>
    <col min="10645" max="10645" width="13.44140625" style="1" bestFit="1" customWidth="1"/>
    <col min="10646" max="10647" width="12.33203125" style="1" bestFit="1" customWidth="1"/>
    <col min="10648" max="10651" width="13.44140625" style="1" bestFit="1" customWidth="1"/>
    <col min="10652" max="10654" width="12.33203125" style="1" bestFit="1" customWidth="1"/>
    <col min="10655" max="10655" width="13.44140625" style="1" bestFit="1" customWidth="1"/>
    <col min="10656" max="10658" width="12.33203125" style="1" bestFit="1" customWidth="1"/>
    <col min="10659" max="10661" width="13.5546875" style="1" bestFit="1" customWidth="1"/>
    <col min="10662" max="10663" width="13.44140625" style="1" bestFit="1" customWidth="1"/>
    <col min="10664" max="10664" width="13.5546875" style="1" bestFit="1" customWidth="1"/>
    <col min="10665" max="10666" width="13.44140625" style="1" bestFit="1" customWidth="1"/>
    <col min="10667" max="10668" width="12.33203125" style="1" bestFit="1" customWidth="1"/>
    <col min="10669" max="10669" width="13.44140625" style="1" bestFit="1" customWidth="1"/>
    <col min="10670" max="10673" width="12.33203125" style="1" bestFit="1" customWidth="1"/>
    <col min="10674" max="10674" width="14.33203125" style="1" customWidth="1"/>
    <col min="10675" max="10675" width="13.88671875" style="1" customWidth="1"/>
    <col min="10676" max="10676" width="13.33203125" style="1" customWidth="1"/>
    <col min="10677" max="10679" width="14.5546875" style="1" customWidth="1"/>
    <col min="10680" max="10680" width="17.33203125" style="1" customWidth="1"/>
    <col min="10681" max="10681" width="14.5546875" style="1" customWidth="1"/>
    <col min="10682" max="10682" width="15.5546875" style="1" customWidth="1"/>
    <col min="10683" max="10683" width="13.44140625" style="1" bestFit="1" customWidth="1"/>
    <col min="10684" max="10684" width="12.33203125" style="1" bestFit="1" customWidth="1"/>
    <col min="10685" max="10685" width="12.88671875" style="1" customWidth="1"/>
    <col min="10686" max="10686" width="14" style="1" customWidth="1"/>
    <col min="10687" max="10687" width="13.33203125" style="1" customWidth="1"/>
    <col min="10688" max="10688" width="13.44140625" style="1" customWidth="1"/>
    <col min="10689" max="10689" width="12.44140625" style="1" customWidth="1"/>
    <col min="10690" max="10690" width="12.109375" style="1" customWidth="1"/>
    <col min="10691" max="10691" width="13.33203125" style="1" customWidth="1"/>
    <col min="10692" max="10692" width="12.33203125" style="1" bestFit="1" customWidth="1"/>
    <col min="10693" max="10693" width="13.5546875" style="1" customWidth="1"/>
    <col min="10694" max="10694" width="13.44140625" style="1" bestFit="1" customWidth="1"/>
    <col min="10695" max="10696" width="12.33203125" style="1" bestFit="1" customWidth="1"/>
    <col min="10697" max="10700" width="13.44140625" style="1" bestFit="1" customWidth="1"/>
    <col min="10701" max="10701" width="15.44140625" style="1" customWidth="1"/>
    <col min="10702" max="10702" width="14.6640625" style="1" customWidth="1"/>
    <col min="10703" max="10703" width="15.109375" style="1" customWidth="1"/>
    <col min="10704" max="10704" width="15" style="1" customWidth="1"/>
    <col min="10705" max="10705" width="14.109375" style="1" customWidth="1"/>
    <col min="10706" max="10706" width="15.44140625" style="1" customWidth="1"/>
    <col min="10707" max="10707" width="17.44140625" style="1" customWidth="1"/>
    <col min="10708" max="10708" width="16.33203125" style="1" customWidth="1"/>
    <col min="10709" max="10711" width="15.5546875" style="1" customWidth="1"/>
    <col min="10712" max="10714" width="13.44140625" style="1" bestFit="1" customWidth="1"/>
    <col min="10715" max="10715" width="15.109375" style="1" customWidth="1"/>
    <col min="10716" max="10716" width="14.109375" style="1" customWidth="1"/>
    <col min="10717" max="10717" width="14.33203125" style="1" customWidth="1"/>
    <col min="10718" max="10718" width="14.88671875" style="1" customWidth="1"/>
    <col min="10719" max="10719" width="14.5546875" style="1" customWidth="1"/>
    <col min="10720" max="10720" width="16.44140625" style="1" customWidth="1"/>
    <col min="10721" max="10721" width="16.33203125" style="1" customWidth="1"/>
    <col min="10722" max="10722" width="15.88671875" style="1" customWidth="1"/>
    <col min="10723" max="10723" width="16.33203125" style="1" customWidth="1"/>
    <col min="10724" max="10724" width="17" style="1" customWidth="1"/>
    <col min="10725" max="10725" width="16.33203125" style="1" customWidth="1"/>
    <col min="10726" max="10726" width="15.109375" style="1" customWidth="1"/>
    <col min="10727" max="10727" width="14.88671875" style="1" customWidth="1"/>
    <col min="10728" max="10729" width="13.6640625" style="1" customWidth="1"/>
    <col min="10730" max="10730" width="14.109375" style="1" customWidth="1"/>
    <col min="10731" max="10731" width="15.33203125" style="1" customWidth="1"/>
    <col min="10732" max="10733" width="15.5546875" style="1" customWidth="1"/>
    <col min="10734" max="10734" width="17.5546875" style="1" customWidth="1"/>
    <col min="10735" max="10735" width="17.88671875" style="1" customWidth="1"/>
    <col min="10736" max="10736" width="17.33203125" style="1" customWidth="1"/>
    <col min="10737" max="10739" width="13.44140625" style="1" bestFit="1" customWidth="1"/>
    <col min="10740" max="10740" width="13.44140625" style="1" customWidth="1"/>
    <col min="10741" max="10742" width="13.88671875" style="1" customWidth="1"/>
    <col min="10743" max="10745" width="13.44140625" style="1" bestFit="1" customWidth="1"/>
    <col min="10746" max="10746" width="13" style="1" customWidth="1"/>
    <col min="10747" max="10747" width="13.33203125" style="1" customWidth="1"/>
    <col min="10748" max="10748" width="14.88671875" style="1" customWidth="1"/>
    <col min="10749" max="10751" width="13.44140625" style="1"/>
    <col min="10752" max="10752" width="55" style="1" bestFit="1" customWidth="1"/>
    <col min="10753" max="10757" width="10.88671875" style="1" bestFit="1" customWidth="1"/>
    <col min="10758" max="10776" width="12.33203125" style="1" bestFit="1" customWidth="1"/>
    <col min="10777" max="10778" width="10.88671875" style="1" bestFit="1" customWidth="1"/>
    <col min="10779" max="10779" width="12.33203125" style="1" bestFit="1" customWidth="1"/>
    <col min="10780" max="10780" width="10.88671875" style="1" bestFit="1" customWidth="1"/>
    <col min="10781" max="10781" width="12.33203125" style="1" customWidth="1"/>
    <col min="10782" max="10782" width="12.33203125" style="1" bestFit="1" customWidth="1"/>
    <col min="10783" max="10783" width="10.88671875" style="1" bestFit="1" customWidth="1"/>
    <col min="10784" max="10784" width="12.33203125" style="1" bestFit="1" customWidth="1"/>
    <col min="10785" max="10803" width="10.88671875" style="1" bestFit="1" customWidth="1"/>
    <col min="10804" max="10820" width="12.33203125" style="1" bestFit="1" customWidth="1"/>
    <col min="10821" max="10822" width="10.88671875" style="1" bestFit="1" customWidth="1"/>
    <col min="10823" max="10823" width="12.33203125" style="1" bestFit="1" customWidth="1"/>
    <col min="10824" max="10828" width="10.88671875" style="1" bestFit="1" customWidth="1"/>
    <col min="10829" max="10836" width="12.33203125" style="1" bestFit="1" customWidth="1"/>
    <col min="10837" max="10837" width="10.88671875" style="1" bestFit="1" customWidth="1"/>
    <col min="10838" max="10839" width="12.33203125" style="1" bestFit="1" customWidth="1"/>
    <col min="10840" max="10840" width="10.88671875" style="1" bestFit="1" customWidth="1"/>
    <col min="10841" max="10843" width="12.33203125" style="1" bestFit="1" customWidth="1"/>
    <col min="10844" max="10845" width="10.88671875" style="1" customWidth="1"/>
    <col min="10846" max="10846" width="10.88671875" style="1" bestFit="1" customWidth="1"/>
    <col min="10847" max="10847" width="10.88671875" style="1" customWidth="1"/>
    <col min="10848" max="10855" width="10.88671875" style="1" bestFit="1" customWidth="1"/>
    <col min="10856" max="10856" width="12.33203125" style="1" bestFit="1" customWidth="1"/>
    <col min="10857" max="10857" width="10.88671875" style="1" bestFit="1" customWidth="1"/>
    <col min="10858" max="10873" width="12.33203125" style="1" bestFit="1" customWidth="1"/>
    <col min="10874" max="10874" width="10.88671875" style="1" bestFit="1" customWidth="1"/>
    <col min="10875" max="10877" width="12.33203125" style="1" bestFit="1" customWidth="1"/>
    <col min="10878" max="10878" width="13.44140625" style="1" bestFit="1" customWidth="1"/>
    <col min="10879" max="10880" width="12.33203125" style="1" bestFit="1" customWidth="1"/>
    <col min="10881" max="10882" width="13.44140625" style="1" bestFit="1" customWidth="1"/>
    <col min="10883" max="10898" width="12.33203125" style="1" bestFit="1" customWidth="1"/>
    <col min="10899" max="10899" width="13.44140625" style="1" bestFit="1" customWidth="1"/>
    <col min="10900" max="10900" width="12.33203125" style="1" bestFit="1" customWidth="1"/>
    <col min="10901" max="10901" width="13.44140625" style="1" bestFit="1" customWidth="1"/>
    <col min="10902" max="10903" width="12.33203125" style="1" bestFit="1" customWidth="1"/>
    <col min="10904" max="10907" width="13.44140625" style="1" bestFit="1" customWidth="1"/>
    <col min="10908" max="10910" width="12.33203125" style="1" bestFit="1" customWidth="1"/>
    <col min="10911" max="10911" width="13.44140625" style="1" bestFit="1" customWidth="1"/>
    <col min="10912" max="10914" width="12.33203125" style="1" bestFit="1" customWidth="1"/>
    <col min="10915" max="10917" width="13.5546875" style="1" bestFit="1" customWidth="1"/>
    <col min="10918" max="10919" width="13.44140625" style="1" bestFit="1" customWidth="1"/>
    <col min="10920" max="10920" width="13.5546875" style="1" bestFit="1" customWidth="1"/>
    <col min="10921" max="10922" width="13.44140625" style="1" bestFit="1" customWidth="1"/>
    <col min="10923" max="10924" width="12.33203125" style="1" bestFit="1" customWidth="1"/>
    <col min="10925" max="10925" width="13.44140625" style="1" bestFit="1" customWidth="1"/>
    <col min="10926" max="10929" width="12.33203125" style="1" bestFit="1" customWidth="1"/>
    <col min="10930" max="10930" width="14.33203125" style="1" customWidth="1"/>
    <col min="10931" max="10931" width="13.88671875" style="1" customWidth="1"/>
    <col min="10932" max="10932" width="13.33203125" style="1" customWidth="1"/>
    <col min="10933" max="10935" width="14.5546875" style="1" customWidth="1"/>
    <col min="10936" max="10936" width="17.33203125" style="1" customWidth="1"/>
    <col min="10937" max="10937" width="14.5546875" style="1" customWidth="1"/>
    <col min="10938" max="10938" width="15.5546875" style="1" customWidth="1"/>
    <col min="10939" max="10939" width="13.44140625" style="1" bestFit="1" customWidth="1"/>
    <col min="10940" max="10940" width="12.33203125" style="1" bestFit="1" customWidth="1"/>
    <col min="10941" max="10941" width="12.88671875" style="1" customWidth="1"/>
    <col min="10942" max="10942" width="14" style="1" customWidth="1"/>
    <col min="10943" max="10943" width="13.33203125" style="1" customWidth="1"/>
    <col min="10944" max="10944" width="13.44140625" style="1" customWidth="1"/>
    <col min="10945" max="10945" width="12.44140625" style="1" customWidth="1"/>
    <col min="10946" max="10946" width="12.109375" style="1" customWidth="1"/>
    <col min="10947" max="10947" width="13.33203125" style="1" customWidth="1"/>
    <col min="10948" max="10948" width="12.33203125" style="1" bestFit="1" customWidth="1"/>
    <col min="10949" max="10949" width="13.5546875" style="1" customWidth="1"/>
    <col min="10950" max="10950" width="13.44140625" style="1" bestFit="1" customWidth="1"/>
    <col min="10951" max="10952" width="12.33203125" style="1" bestFit="1" customWidth="1"/>
    <col min="10953" max="10956" width="13.44140625" style="1" bestFit="1" customWidth="1"/>
    <col min="10957" max="10957" width="15.44140625" style="1" customWidth="1"/>
    <col min="10958" max="10958" width="14.6640625" style="1" customWidth="1"/>
    <col min="10959" max="10959" width="15.109375" style="1" customWidth="1"/>
    <col min="10960" max="10960" width="15" style="1" customWidth="1"/>
    <col min="10961" max="10961" width="14.109375" style="1" customWidth="1"/>
    <col min="10962" max="10962" width="15.44140625" style="1" customWidth="1"/>
    <col min="10963" max="10963" width="17.44140625" style="1" customWidth="1"/>
    <col min="10964" max="10964" width="16.33203125" style="1" customWidth="1"/>
    <col min="10965" max="10967" width="15.5546875" style="1" customWidth="1"/>
    <col min="10968" max="10970" width="13.44140625" style="1" bestFit="1" customWidth="1"/>
    <col min="10971" max="10971" width="15.109375" style="1" customWidth="1"/>
    <col min="10972" max="10972" width="14.109375" style="1" customWidth="1"/>
    <col min="10973" max="10973" width="14.33203125" style="1" customWidth="1"/>
    <col min="10974" max="10974" width="14.88671875" style="1" customWidth="1"/>
    <col min="10975" max="10975" width="14.5546875" style="1" customWidth="1"/>
    <col min="10976" max="10976" width="16.44140625" style="1" customWidth="1"/>
    <col min="10977" max="10977" width="16.33203125" style="1" customWidth="1"/>
    <col min="10978" max="10978" width="15.88671875" style="1" customWidth="1"/>
    <col min="10979" max="10979" width="16.33203125" style="1" customWidth="1"/>
    <col min="10980" max="10980" width="17" style="1" customWidth="1"/>
    <col min="10981" max="10981" width="16.33203125" style="1" customWidth="1"/>
    <col min="10982" max="10982" width="15.109375" style="1" customWidth="1"/>
    <col min="10983" max="10983" width="14.88671875" style="1" customWidth="1"/>
    <col min="10984" max="10985" width="13.6640625" style="1" customWidth="1"/>
    <col min="10986" max="10986" width="14.109375" style="1" customWidth="1"/>
    <col min="10987" max="10987" width="15.33203125" style="1" customWidth="1"/>
    <col min="10988" max="10989" width="15.5546875" style="1" customWidth="1"/>
    <col min="10990" max="10990" width="17.5546875" style="1" customWidth="1"/>
    <col min="10991" max="10991" width="17.88671875" style="1" customWidth="1"/>
    <col min="10992" max="10992" width="17.33203125" style="1" customWidth="1"/>
    <col min="10993" max="10995" width="13.44140625" style="1" bestFit="1" customWidth="1"/>
    <col min="10996" max="10996" width="13.44140625" style="1" customWidth="1"/>
    <col min="10997" max="10998" width="13.88671875" style="1" customWidth="1"/>
    <col min="10999" max="11001" width="13.44140625" style="1" bestFit="1" customWidth="1"/>
    <col min="11002" max="11002" width="13" style="1" customWidth="1"/>
    <col min="11003" max="11003" width="13.33203125" style="1" customWidth="1"/>
    <col min="11004" max="11004" width="14.88671875" style="1" customWidth="1"/>
    <col min="11005" max="11007" width="13.44140625" style="1"/>
    <col min="11008" max="11008" width="55" style="1" bestFit="1" customWidth="1"/>
    <col min="11009" max="11013" width="10.88671875" style="1" bestFit="1" customWidth="1"/>
    <col min="11014" max="11032" width="12.33203125" style="1" bestFit="1" customWidth="1"/>
    <col min="11033" max="11034" width="10.88671875" style="1" bestFit="1" customWidth="1"/>
    <col min="11035" max="11035" width="12.33203125" style="1" bestFit="1" customWidth="1"/>
    <col min="11036" max="11036" width="10.88671875" style="1" bestFit="1" customWidth="1"/>
    <col min="11037" max="11037" width="12.33203125" style="1" customWidth="1"/>
    <col min="11038" max="11038" width="12.33203125" style="1" bestFit="1" customWidth="1"/>
    <col min="11039" max="11039" width="10.88671875" style="1" bestFit="1" customWidth="1"/>
    <col min="11040" max="11040" width="12.33203125" style="1" bestFit="1" customWidth="1"/>
    <col min="11041" max="11059" width="10.88671875" style="1" bestFit="1" customWidth="1"/>
    <col min="11060" max="11076" width="12.33203125" style="1" bestFit="1" customWidth="1"/>
    <col min="11077" max="11078" width="10.88671875" style="1" bestFit="1" customWidth="1"/>
    <col min="11079" max="11079" width="12.33203125" style="1" bestFit="1" customWidth="1"/>
    <col min="11080" max="11084" width="10.88671875" style="1" bestFit="1" customWidth="1"/>
    <col min="11085" max="11092" width="12.33203125" style="1" bestFit="1" customWidth="1"/>
    <col min="11093" max="11093" width="10.88671875" style="1" bestFit="1" customWidth="1"/>
    <col min="11094" max="11095" width="12.33203125" style="1" bestFit="1" customWidth="1"/>
    <col min="11096" max="11096" width="10.88671875" style="1" bestFit="1" customWidth="1"/>
    <col min="11097" max="11099" width="12.33203125" style="1" bestFit="1" customWidth="1"/>
    <col min="11100" max="11101" width="10.88671875" style="1" customWidth="1"/>
    <col min="11102" max="11102" width="10.88671875" style="1" bestFit="1" customWidth="1"/>
    <col min="11103" max="11103" width="10.88671875" style="1" customWidth="1"/>
    <col min="11104" max="11111" width="10.88671875" style="1" bestFit="1" customWidth="1"/>
    <col min="11112" max="11112" width="12.33203125" style="1" bestFit="1" customWidth="1"/>
    <col min="11113" max="11113" width="10.88671875" style="1" bestFit="1" customWidth="1"/>
    <col min="11114" max="11129" width="12.33203125" style="1" bestFit="1" customWidth="1"/>
    <col min="11130" max="11130" width="10.88671875" style="1" bestFit="1" customWidth="1"/>
    <col min="11131" max="11133" width="12.33203125" style="1" bestFit="1" customWidth="1"/>
    <col min="11134" max="11134" width="13.44140625" style="1" bestFit="1" customWidth="1"/>
    <col min="11135" max="11136" width="12.33203125" style="1" bestFit="1" customWidth="1"/>
    <col min="11137" max="11138" width="13.44140625" style="1" bestFit="1" customWidth="1"/>
    <col min="11139" max="11154" width="12.33203125" style="1" bestFit="1" customWidth="1"/>
    <col min="11155" max="11155" width="13.44140625" style="1" bestFit="1" customWidth="1"/>
    <col min="11156" max="11156" width="12.33203125" style="1" bestFit="1" customWidth="1"/>
    <col min="11157" max="11157" width="13.44140625" style="1" bestFit="1" customWidth="1"/>
    <col min="11158" max="11159" width="12.33203125" style="1" bestFit="1" customWidth="1"/>
    <col min="11160" max="11163" width="13.44140625" style="1" bestFit="1" customWidth="1"/>
    <col min="11164" max="11166" width="12.33203125" style="1" bestFit="1" customWidth="1"/>
    <col min="11167" max="11167" width="13.44140625" style="1" bestFit="1" customWidth="1"/>
    <col min="11168" max="11170" width="12.33203125" style="1" bestFit="1" customWidth="1"/>
    <col min="11171" max="11173" width="13.5546875" style="1" bestFit="1" customWidth="1"/>
    <col min="11174" max="11175" width="13.44140625" style="1" bestFit="1" customWidth="1"/>
    <col min="11176" max="11176" width="13.5546875" style="1" bestFit="1" customWidth="1"/>
    <col min="11177" max="11178" width="13.44140625" style="1" bestFit="1" customWidth="1"/>
    <col min="11179" max="11180" width="12.33203125" style="1" bestFit="1" customWidth="1"/>
    <col min="11181" max="11181" width="13.44140625" style="1" bestFit="1" customWidth="1"/>
    <col min="11182" max="11185" width="12.33203125" style="1" bestFit="1" customWidth="1"/>
    <col min="11186" max="11186" width="14.33203125" style="1" customWidth="1"/>
    <col min="11187" max="11187" width="13.88671875" style="1" customWidth="1"/>
    <col min="11188" max="11188" width="13.33203125" style="1" customWidth="1"/>
    <col min="11189" max="11191" width="14.5546875" style="1" customWidth="1"/>
    <col min="11192" max="11192" width="17.33203125" style="1" customWidth="1"/>
    <col min="11193" max="11193" width="14.5546875" style="1" customWidth="1"/>
    <col min="11194" max="11194" width="15.5546875" style="1" customWidth="1"/>
    <col min="11195" max="11195" width="13.44140625" style="1" bestFit="1" customWidth="1"/>
    <col min="11196" max="11196" width="12.33203125" style="1" bestFit="1" customWidth="1"/>
    <col min="11197" max="11197" width="12.88671875" style="1" customWidth="1"/>
    <col min="11198" max="11198" width="14" style="1" customWidth="1"/>
    <col min="11199" max="11199" width="13.33203125" style="1" customWidth="1"/>
    <col min="11200" max="11200" width="13.44140625" style="1" customWidth="1"/>
    <col min="11201" max="11201" width="12.44140625" style="1" customWidth="1"/>
    <col min="11202" max="11202" width="12.109375" style="1" customWidth="1"/>
    <col min="11203" max="11203" width="13.33203125" style="1" customWidth="1"/>
    <col min="11204" max="11204" width="12.33203125" style="1" bestFit="1" customWidth="1"/>
    <col min="11205" max="11205" width="13.5546875" style="1" customWidth="1"/>
    <col min="11206" max="11206" width="13.44140625" style="1" bestFit="1" customWidth="1"/>
    <col min="11207" max="11208" width="12.33203125" style="1" bestFit="1" customWidth="1"/>
    <col min="11209" max="11212" width="13.44140625" style="1" bestFit="1" customWidth="1"/>
    <col min="11213" max="11213" width="15.44140625" style="1" customWidth="1"/>
    <col min="11214" max="11214" width="14.6640625" style="1" customWidth="1"/>
    <col min="11215" max="11215" width="15.109375" style="1" customWidth="1"/>
    <col min="11216" max="11216" width="15" style="1" customWidth="1"/>
    <col min="11217" max="11217" width="14.109375" style="1" customWidth="1"/>
    <col min="11218" max="11218" width="15.44140625" style="1" customWidth="1"/>
    <col min="11219" max="11219" width="17.44140625" style="1" customWidth="1"/>
    <col min="11220" max="11220" width="16.33203125" style="1" customWidth="1"/>
    <col min="11221" max="11223" width="15.5546875" style="1" customWidth="1"/>
    <col min="11224" max="11226" width="13.44140625" style="1" bestFit="1" customWidth="1"/>
    <col min="11227" max="11227" width="15.109375" style="1" customWidth="1"/>
    <col min="11228" max="11228" width="14.109375" style="1" customWidth="1"/>
    <col min="11229" max="11229" width="14.33203125" style="1" customWidth="1"/>
    <col min="11230" max="11230" width="14.88671875" style="1" customWidth="1"/>
    <col min="11231" max="11231" width="14.5546875" style="1" customWidth="1"/>
    <col min="11232" max="11232" width="16.44140625" style="1" customWidth="1"/>
    <col min="11233" max="11233" width="16.33203125" style="1" customWidth="1"/>
    <col min="11234" max="11234" width="15.88671875" style="1" customWidth="1"/>
    <col min="11235" max="11235" width="16.33203125" style="1" customWidth="1"/>
    <col min="11236" max="11236" width="17" style="1" customWidth="1"/>
    <col min="11237" max="11237" width="16.33203125" style="1" customWidth="1"/>
    <col min="11238" max="11238" width="15.109375" style="1" customWidth="1"/>
    <col min="11239" max="11239" width="14.88671875" style="1" customWidth="1"/>
    <col min="11240" max="11241" width="13.6640625" style="1" customWidth="1"/>
    <col min="11242" max="11242" width="14.109375" style="1" customWidth="1"/>
    <col min="11243" max="11243" width="15.33203125" style="1" customWidth="1"/>
    <col min="11244" max="11245" width="15.5546875" style="1" customWidth="1"/>
    <col min="11246" max="11246" width="17.5546875" style="1" customWidth="1"/>
    <col min="11247" max="11247" width="17.88671875" style="1" customWidth="1"/>
    <col min="11248" max="11248" width="17.33203125" style="1" customWidth="1"/>
    <col min="11249" max="11251" width="13.44140625" style="1" bestFit="1" customWidth="1"/>
    <col min="11252" max="11252" width="13.44140625" style="1" customWidth="1"/>
    <col min="11253" max="11254" width="13.88671875" style="1" customWidth="1"/>
    <col min="11255" max="11257" width="13.44140625" style="1" bestFit="1" customWidth="1"/>
    <col min="11258" max="11258" width="13" style="1" customWidth="1"/>
    <col min="11259" max="11259" width="13.33203125" style="1" customWidth="1"/>
    <col min="11260" max="11260" width="14.88671875" style="1" customWidth="1"/>
    <col min="11261" max="11263" width="13.44140625" style="1"/>
    <col min="11264" max="11264" width="55" style="1" bestFit="1" customWidth="1"/>
    <col min="11265" max="11269" width="10.88671875" style="1" bestFit="1" customWidth="1"/>
    <col min="11270" max="11288" width="12.33203125" style="1" bestFit="1" customWidth="1"/>
    <col min="11289" max="11290" width="10.88671875" style="1" bestFit="1" customWidth="1"/>
    <col min="11291" max="11291" width="12.33203125" style="1" bestFit="1" customWidth="1"/>
    <col min="11292" max="11292" width="10.88671875" style="1" bestFit="1" customWidth="1"/>
    <col min="11293" max="11293" width="12.33203125" style="1" customWidth="1"/>
    <col min="11294" max="11294" width="12.33203125" style="1" bestFit="1" customWidth="1"/>
    <col min="11295" max="11295" width="10.88671875" style="1" bestFit="1" customWidth="1"/>
    <col min="11296" max="11296" width="12.33203125" style="1" bestFit="1" customWidth="1"/>
    <col min="11297" max="11315" width="10.88671875" style="1" bestFit="1" customWidth="1"/>
    <col min="11316" max="11332" width="12.33203125" style="1" bestFit="1" customWidth="1"/>
    <col min="11333" max="11334" width="10.88671875" style="1" bestFit="1" customWidth="1"/>
    <col min="11335" max="11335" width="12.33203125" style="1" bestFit="1" customWidth="1"/>
    <col min="11336" max="11340" width="10.88671875" style="1" bestFit="1" customWidth="1"/>
    <col min="11341" max="11348" width="12.33203125" style="1" bestFit="1" customWidth="1"/>
    <col min="11349" max="11349" width="10.88671875" style="1" bestFit="1" customWidth="1"/>
    <col min="11350" max="11351" width="12.33203125" style="1" bestFit="1" customWidth="1"/>
    <col min="11352" max="11352" width="10.88671875" style="1" bestFit="1" customWidth="1"/>
    <col min="11353" max="11355" width="12.33203125" style="1" bestFit="1" customWidth="1"/>
    <col min="11356" max="11357" width="10.88671875" style="1" customWidth="1"/>
    <col min="11358" max="11358" width="10.88671875" style="1" bestFit="1" customWidth="1"/>
    <col min="11359" max="11359" width="10.88671875" style="1" customWidth="1"/>
    <col min="11360" max="11367" width="10.88671875" style="1" bestFit="1" customWidth="1"/>
    <col min="11368" max="11368" width="12.33203125" style="1" bestFit="1" customWidth="1"/>
    <col min="11369" max="11369" width="10.88671875" style="1" bestFit="1" customWidth="1"/>
    <col min="11370" max="11385" width="12.33203125" style="1" bestFit="1" customWidth="1"/>
    <col min="11386" max="11386" width="10.88671875" style="1" bestFit="1" customWidth="1"/>
    <col min="11387" max="11389" width="12.33203125" style="1" bestFit="1" customWidth="1"/>
    <col min="11390" max="11390" width="13.44140625" style="1" bestFit="1" customWidth="1"/>
    <col min="11391" max="11392" width="12.33203125" style="1" bestFit="1" customWidth="1"/>
    <col min="11393" max="11394" width="13.44140625" style="1" bestFit="1" customWidth="1"/>
    <col min="11395" max="11410" width="12.33203125" style="1" bestFit="1" customWidth="1"/>
    <col min="11411" max="11411" width="13.44140625" style="1" bestFit="1" customWidth="1"/>
    <col min="11412" max="11412" width="12.33203125" style="1" bestFit="1" customWidth="1"/>
    <col min="11413" max="11413" width="13.44140625" style="1" bestFit="1" customWidth="1"/>
    <col min="11414" max="11415" width="12.33203125" style="1" bestFit="1" customWidth="1"/>
    <col min="11416" max="11419" width="13.44140625" style="1" bestFit="1" customWidth="1"/>
    <col min="11420" max="11422" width="12.33203125" style="1" bestFit="1" customWidth="1"/>
    <col min="11423" max="11423" width="13.44140625" style="1" bestFit="1" customWidth="1"/>
    <col min="11424" max="11426" width="12.33203125" style="1" bestFit="1" customWidth="1"/>
    <col min="11427" max="11429" width="13.5546875" style="1" bestFit="1" customWidth="1"/>
    <col min="11430" max="11431" width="13.44140625" style="1" bestFit="1" customWidth="1"/>
    <col min="11432" max="11432" width="13.5546875" style="1" bestFit="1" customWidth="1"/>
    <col min="11433" max="11434" width="13.44140625" style="1" bestFit="1" customWidth="1"/>
    <col min="11435" max="11436" width="12.33203125" style="1" bestFit="1" customWidth="1"/>
    <col min="11437" max="11437" width="13.44140625" style="1" bestFit="1" customWidth="1"/>
    <col min="11438" max="11441" width="12.33203125" style="1" bestFit="1" customWidth="1"/>
    <col min="11442" max="11442" width="14.33203125" style="1" customWidth="1"/>
    <col min="11443" max="11443" width="13.88671875" style="1" customWidth="1"/>
    <col min="11444" max="11444" width="13.33203125" style="1" customWidth="1"/>
    <col min="11445" max="11447" width="14.5546875" style="1" customWidth="1"/>
    <col min="11448" max="11448" width="17.33203125" style="1" customWidth="1"/>
    <col min="11449" max="11449" width="14.5546875" style="1" customWidth="1"/>
    <col min="11450" max="11450" width="15.5546875" style="1" customWidth="1"/>
    <col min="11451" max="11451" width="13.44140625" style="1" bestFit="1" customWidth="1"/>
    <col min="11452" max="11452" width="12.33203125" style="1" bestFit="1" customWidth="1"/>
    <col min="11453" max="11453" width="12.88671875" style="1" customWidth="1"/>
    <col min="11454" max="11454" width="14" style="1" customWidth="1"/>
    <col min="11455" max="11455" width="13.33203125" style="1" customWidth="1"/>
    <col min="11456" max="11456" width="13.44140625" style="1" customWidth="1"/>
    <col min="11457" max="11457" width="12.44140625" style="1" customWidth="1"/>
    <col min="11458" max="11458" width="12.109375" style="1" customWidth="1"/>
    <col min="11459" max="11459" width="13.33203125" style="1" customWidth="1"/>
    <col min="11460" max="11460" width="12.33203125" style="1" bestFit="1" customWidth="1"/>
    <col min="11461" max="11461" width="13.5546875" style="1" customWidth="1"/>
    <col min="11462" max="11462" width="13.44140625" style="1" bestFit="1" customWidth="1"/>
    <col min="11463" max="11464" width="12.33203125" style="1" bestFit="1" customWidth="1"/>
    <col min="11465" max="11468" width="13.44140625" style="1" bestFit="1" customWidth="1"/>
    <col min="11469" max="11469" width="15.44140625" style="1" customWidth="1"/>
    <col min="11470" max="11470" width="14.6640625" style="1" customWidth="1"/>
    <col min="11471" max="11471" width="15.109375" style="1" customWidth="1"/>
    <col min="11472" max="11472" width="15" style="1" customWidth="1"/>
    <col min="11473" max="11473" width="14.109375" style="1" customWidth="1"/>
    <col min="11474" max="11474" width="15.44140625" style="1" customWidth="1"/>
    <col min="11475" max="11475" width="17.44140625" style="1" customWidth="1"/>
    <col min="11476" max="11476" width="16.33203125" style="1" customWidth="1"/>
    <col min="11477" max="11479" width="15.5546875" style="1" customWidth="1"/>
    <col min="11480" max="11482" width="13.44140625" style="1" bestFit="1" customWidth="1"/>
    <col min="11483" max="11483" width="15.109375" style="1" customWidth="1"/>
    <col min="11484" max="11484" width="14.109375" style="1" customWidth="1"/>
    <col min="11485" max="11485" width="14.33203125" style="1" customWidth="1"/>
    <col min="11486" max="11486" width="14.88671875" style="1" customWidth="1"/>
    <col min="11487" max="11487" width="14.5546875" style="1" customWidth="1"/>
    <col min="11488" max="11488" width="16.44140625" style="1" customWidth="1"/>
    <col min="11489" max="11489" width="16.33203125" style="1" customWidth="1"/>
    <col min="11490" max="11490" width="15.88671875" style="1" customWidth="1"/>
    <col min="11491" max="11491" width="16.33203125" style="1" customWidth="1"/>
    <col min="11492" max="11492" width="17" style="1" customWidth="1"/>
    <col min="11493" max="11493" width="16.33203125" style="1" customWidth="1"/>
    <col min="11494" max="11494" width="15.109375" style="1" customWidth="1"/>
    <col min="11495" max="11495" width="14.88671875" style="1" customWidth="1"/>
    <col min="11496" max="11497" width="13.6640625" style="1" customWidth="1"/>
    <col min="11498" max="11498" width="14.109375" style="1" customWidth="1"/>
    <col min="11499" max="11499" width="15.33203125" style="1" customWidth="1"/>
    <col min="11500" max="11501" width="15.5546875" style="1" customWidth="1"/>
    <col min="11502" max="11502" width="17.5546875" style="1" customWidth="1"/>
    <col min="11503" max="11503" width="17.88671875" style="1" customWidth="1"/>
    <col min="11504" max="11504" width="17.33203125" style="1" customWidth="1"/>
    <col min="11505" max="11507" width="13.44140625" style="1" bestFit="1" customWidth="1"/>
    <col min="11508" max="11508" width="13.44140625" style="1" customWidth="1"/>
    <col min="11509" max="11510" width="13.88671875" style="1" customWidth="1"/>
    <col min="11511" max="11513" width="13.44140625" style="1" bestFit="1" customWidth="1"/>
    <col min="11514" max="11514" width="13" style="1" customWidth="1"/>
    <col min="11515" max="11515" width="13.33203125" style="1" customWidth="1"/>
    <col min="11516" max="11516" width="14.88671875" style="1" customWidth="1"/>
    <col min="11517" max="11519" width="13.44140625" style="1"/>
    <col min="11520" max="11520" width="55" style="1" bestFit="1" customWidth="1"/>
    <col min="11521" max="11525" width="10.88671875" style="1" bestFit="1" customWidth="1"/>
    <col min="11526" max="11544" width="12.33203125" style="1" bestFit="1" customWidth="1"/>
    <col min="11545" max="11546" width="10.88671875" style="1" bestFit="1" customWidth="1"/>
    <col min="11547" max="11547" width="12.33203125" style="1" bestFit="1" customWidth="1"/>
    <col min="11548" max="11548" width="10.88671875" style="1" bestFit="1" customWidth="1"/>
    <col min="11549" max="11549" width="12.33203125" style="1" customWidth="1"/>
    <col min="11550" max="11550" width="12.33203125" style="1" bestFit="1" customWidth="1"/>
    <col min="11551" max="11551" width="10.88671875" style="1" bestFit="1" customWidth="1"/>
    <col min="11552" max="11552" width="12.33203125" style="1" bestFit="1" customWidth="1"/>
    <col min="11553" max="11571" width="10.88671875" style="1" bestFit="1" customWidth="1"/>
    <col min="11572" max="11588" width="12.33203125" style="1" bestFit="1" customWidth="1"/>
    <col min="11589" max="11590" width="10.88671875" style="1" bestFit="1" customWidth="1"/>
    <col min="11591" max="11591" width="12.33203125" style="1" bestFit="1" customWidth="1"/>
    <col min="11592" max="11596" width="10.88671875" style="1" bestFit="1" customWidth="1"/>
    <col min="11597" max="11604" width="12.33203125" style="1" bestFit="1" customWidth="1"/>
    <col min="11605" max="11605" width="10.88671875" style="1" bestFit="1" customWidth="1"/>
    <col min="11606" max="11607" width="12.33203125" style="1" bestFit="1" customWidth="1"/>
    <col min="11608" max="11608" width="10.88671875" style="1" bestFit="1" customWidth="1"/>
    <col min="11609" max="11611" width="12.33203125" style="1" bestFit="1" customWidth="1"/>
    <col min="11612" max="11613" width="10.88671875" style="1" customWidth="1"/>
    <col min="11614" max="11614" width="10.88671875" style="1" bestFit="1" customWidth="1"/>
    <col min="11615" max="11615" width="10.88671875" style="1" customWidth="1"/>
    <col min="11616" max="11623" width="10.88671875" style="1" bestFit="1" customWidth="1"/>
    <col min="11624" max="11624" width="12.33203125" style="1" bestFit="1" customWidth="1"/>
    <col min="11625" max="11625" width="10.88671875" style="1" bestFit="1" customWidth="1"/>
    <col min="11626" max="11641" width="12.33203125" style="1" bestFit="1" customWidth="1"/>
    <col min="11642" max="11642" width="10.88671875" style="1" bestFit="1" customWidth="1"/>
    <col min="11643" max="11645" width="12.33203125" style="1" bestFit="1" customWidth="1"/>
    <col min="11646" max="11646" width="13.44140625" style="1" bestFit="1" customWidth="1"/>
    <col min="11647" max="11648" width="12.33203125" style="1" bestFit="1" customWidth="1"/>
    <col min="11649" max="11650" width="13.44140625" style="1" bestFit="1" customWidth="1"/>
    <col min="11651" max="11666" width="12.33203125" style="1" bestFit="1" customWidth="1"/>
    <col min="11667" max="11667" width="13.44140625" style="1" bestFit="1" customWidth="1"/>
    <col min="11668" max="11668" width="12.33203125" style="1" bestFit="1" customWidth="1"/>
    <col min="11669" max="11669" width="13.44140625" style="1" bestFit="1" customWidth="1"/>
    <col min="11670" max="11671" width="12.33203125" style="1" bestFit="1" customWidth="1"/>
    <col min="11672" max="11675" width="13.44140625" style="1" bestFit="1" customWidth="1"/>
    <col min="11676" max="11678" width="12.33203125" style="1" bestFit="1" customWidth="1"/>
    <col min="11679" max="11679" width="13.44140625" style="1" bestFit="1" customWidth="1"/>
    <col min="11680" max="11682" width="12.33203125" style="1" bestFit="1" customWidth="1"/>
    <col min="11683" max="11685" width="13.5546875" style="1" bestFit="1" customWidth="1"/>
    <col min="11686" max="11687" width="13.44140625" style="1" bestFit="1" customWidth="1"/>
    <col min="11688" max="11688" width="13.5546875" style="1" bestFit="1" customWidth="1"/>
    <col min="11689" max="11690" width="13.44140625" style="1" bestFit="1" customWidth="1"/>
    <col min="11691" max="11692" width="12.33203125" style="1" bestFit="1" customWidth="1"/>
    <col min="11693" max="11693" width="13.44140625" style="1" bestFit="1" customWidth="1"/>
    <col min="11694" max="11697" width="12.33203125" style="1" bestFit="1" customWidth="1"/>
    <col min="11698" max="11698" width="14.33203125" style="1" customWidth="1"/>
    <col min="11699" max="11699" width="13.88671875" style="1" customWidth="1"/>
    <col min="11700" max="11700" width="13.33203125" style="1" customWidth="1"/>
    <col min="11701" max="11703" width="14.5546875" style="1" customWidth="1"/>
    <col min="11704" max="11704" width="17.33203125" style="1" customWidth="1"/>
    <col min="11705" max="11705" width="14.5546875" style="1" customWidth="1"/>
    <col min="11706" max="11706" width="15.5546875" style="1" customWidth="1"/>
    <col min="11707" max="11707" width="13.44140625" style="1" bestFit="1" customWidth="1"/>
    <col min="11708" max="11708" width="12.33203125" style="1" bestFit="1" customWidth="1"/>
    <col min="11709" max="11709" width="12.88671875" style="1" customWidth="1"/>
    <col min="11710" max="11710" width="14" style="1" customWidth="1"/>
    <col min="11711" max="11711" width="13.33203125" style="1" customWidth="1"/>
    <col min="11712" max="11712" width="13.44140625" style="1" customWidth="1"/>
    <col min="11713" max="11713" width="12.44140625" style="1" customWidth="1"/>
    <col min="11714" max="11714" width="12.109375" style="1" customWidth="1"/>
    <col min="11715" max="11715" width="13.33203125" style="1" customWidth="1"/>
    <col min="11716" max="11716" width="12.33203125" style="1" bestFit="1" customWidth="1"/>
    <col min="11717" max="11717" width="13.5546875" style="1" customWidth="1"/>
    <col min="11718" max="11718" width="13.44140625" style="1" bestFit="1" customWidth="1"/>
    <col min="11719" max="11720" width="12.33203125" style="1" bestFit="1" customWidth="1"/>
    <col min="11721" max="11724" width="13.44140625" style="1" bestFit="1" customWidth="1"/>
    <col min="11725" max="11725" width="15.44140625" style="1" customWidth="1"/>
    <col min="11726" max="11726" width="14.6640625" style="1" customWidth="1"/>
    <col min="11727" max="11727" width="15.109375" style="1" customWidth="1"/>
    <col min="11728" max="11728" width="15" style="1" customWidth="1"/>
    <col min="11729" max="11729" width="14.109375" style="1" customWidth="1"/>
    <col min="11730" max="11730" width="15.44140625" style="1" customWidth="1"/>
    <col min="11731" max="11731" width="17.44140625" style="1" customWidth="1"/>
    <col min="11732" max="11732" width="16.33203125" style="1" customWidth="1"/>
    <col min="11733" max="11735" width="15.5546875" style="1" customWidth="1"/>
    <col min="11736" max="11738" width="13.44140625" style="1" bestFit="1" customWidth="1"/>
    <col min="11739" max="11739" width="15.109375" style="1" customWidth="1"/>
    <col min="11740" max="11740" width="14.109375" style="1" customWidth="1"/>
    <col min="11741" max="11741" width="14.33203125" style="1" customWidth="1"/>
    <col min="11742" max="11742" width="14.88671875" style="1" customWidth="1"/>
    <col min="11743" max="11743" width="14.5546875" style="1" customWidth="1"/>
    <col min="11744" max="11744" width="16.44140625" style="1" customWidth="1"/>
    <col min="11745" max="11745" width="16.33203125" style="1" customWidth="1"/>
    <col min="11746" max="11746" width="15.88671875" style="1" customWidth="1"/>
    <col min="11747" max="11747" width="16.33203125" style="1" customWidth="1"/>
    <col min="11748" max="11748" width="17" style="1" customWidth="1"/>
    <col min="11749" max="11749" width="16.33203125" style="1" customWidth="1"/>
    <col min="11750" max="11750" width="15.109375" style="1" customWidth="1"/>
    <col min="11751" max="11751" width="14.88671875" style="1" customWidth="1"/>
    <col min="11752" max="11753" width="13.6640625" style="1" customWidth="1"/>
    <col min="11754" max="11754" width="14.109375" style="1" customWidth="1"/>
    <col min="11755" max="11755" width="15.33203125" style="1" customWidth="1"/>
    <col min="11756" max="11757" width="15.5546875" style="1" customWidth="1"/>
    <col min="11758" max="11758" width="17.5546875" style="1" customWidth="1"/>
    <col min="11759" max="11759" width="17.88671875" style="1" customWidth="1"/>
    <col min="11760" max="11760" width="17.33203125" style="1" customWidth="1"/>
    <col min="11761" max="11763" width="13.44140625" style="1" bestFit="1" customWidth="1"/>
    <col min="11764" max="11764" width="13.44140625" style="1" customWidth="1"/>
    <col min="11765" max="11766" width="13.88671875" style="1" customWidth="1"/>
    <col min="11767" max="11769" width="13.44140625" style="1" bestFit="1" customWidth="1"/>
    <col min="11770" max="11770" width="13" style="1" customWidth="1"/>
    <col min="11771" max="11771" width="13.33203125" style="1" customWidth="1"/>
    <col min="11772" max="11772" width="14.88671875" style="1" customWidth="1"/>
    <col min="11773" max="11775" width="13.44140625" style="1"/>
    <col min="11776" max="11776" width="55" style="1" bestFit="1" customWidth="1"/>
    <col min="11777" max="11781" width="10.88671875" style="1" bestFit="1" customWidth="1"/>
    <col min="11782" max="11800" width="12.33203125" style="1" bestFit="1" customWidth="1"/>
    <col min="11801" max="11802" width="10.88671875" style="1" bestFit="1" customWidth="1"/>
    <col min="11803" max="11803" width="12.33203125" style="1" bestFit="1" customWidth="1"/>
    <col min="11804" max="11804" width="10.88671875" style="1" bestFit="1" customWidth="1"/>
    <col min="11805" max="11805" width="12.33203125" style="1" customWidth="1"/>
    <col min="11806" max="11806" width="12.33203125" style="1" bestFit="1" customWidth="1"/>
    <col min="11807" max="11807" width="10.88671875" style="1" bestFit="1" customWidth="1"/>
    <col min="11808" max="11808" width="12.33203125" style="1" bestFit="1" customWidth="1"/>
    <col min="11809" max="11827" width="10.88671875" style="1" bestFit="1" customWidth="1"/>
    <col min="11828" max="11844" width="12.33203125" style="1" bestFit="1" customWidth="1"/>
    <col min="11845" max="11846" width="10.88671875" style="1" bestFit="1" customWidth="1"/>
    <col min="11847" max="11847" width="12.33203125" style="1" bestFit="1" customWidth="1"/>
    <col min="11848" max="11852" width="10.88671875" style="1" bestFit="1" customWidth="1"/>
    <col min="11853" max="11860" width="12.33203125" style="1" bestFit="1" customWidth="1"/>
    <col min="11861" max="11861" width="10.88671875" style="1" bestFit="1" customWidth="1"/>
    <col min="11862" max="11863" width="12.33203125" style="1" bestFit="1" customWidth="1"/>
    <col min="11864" max="11864" width="10.88671875" style="1" bestFit="1" customWidth="1"/>
    <col min="11865" max="11867" width="12.33203125" style="1" bestFit="1" customWidth="1"/>
    <col min="11868" max="11869" width="10.88671875" style="1" customWidth="1"/>
    <col min="11870" max="11870" width="10.88671875" style="1" bestFit="1" customWidth="1"/>
    <col min="11871" max="11871" width="10.88671875" style="1" customWidth="1"/>
    <col min="11872" max="11879" width="10.88671875" style="1" bestFit="1" customWidth="1"/>
    <col min="11880" max="11880" width="12.33203125" style="1" bestFit="1" customWidth="1"/>
    <col min="11881" max="11881" width="10.88671875" style="1" bestFit="1" customWidth="1"/>
    <col min="11882" max="11897" width="12.33203125" style="1" bestFit="1" customWidth="1"/>
    <col min="11898" max="11898" width="10.88671875" style="1" bestFit="1" customWidth="1"/>
    <col min="11899" max="11901" width="12.33203125" style="1" bestFit="1" customWidth="1"/>
    <col min="11902" max="11902" width="13.44140625" style="1" bestFit="1" customWidth="1"/>
    <col min="11903" max="11904" width="12.33203125" style="1" bestFit="1" customWidth="1"/>
    <col min="11905" max="11906" width="13.44140625" style="1" bestFit="1" customWidth="1"/>
    <col min="11907" max="11922" width="12.33203125" style="1" bestFit="1" customWidth="1"/>
    <col min="11923" max="11923" width="13.44140625" style="1" bestFit="1" customWidth="1"/>
    <col min="11924" max="11924" width="12.33203125" style="1" bestFit="1" customWidth="1"/>
    <col min="11925" max="11925" width="13.44140625" style="1" bestFit="1" customWidth="1"/>
    <col min="11926" max="11927" width="12.33203125" style="1" bestFit="1" customWidth="1"/>
    <col min="11928" max="11931" width="13.44140625" style="1" bestFit="1" customWidth="1"/>
    <col min="11932" max="11934" width="12.33203125" style="1" bestFit="1" customWidth="1"/>
    <col min="11935" max="11935" width="13.44140625" style="1" bestFit="1" customWidth="1"/>
    <col min="11936" max="11938" width="12.33203125" style="1" bestFit="1" customWidth="1"/>
    <col min="11939" max="11941" width="13.5546875" style="1" bestFit="1" customWidth="1"/>
    <col min="11942" max="11943" width="13.44140625" style="1" bestFit="1" customWidth="1"/>
    <col min="11944" max="11944" width="13.5546875" style="1" bestFit="1" customWidth="1"/>
    <col min="11945" max="11946" width="13.44140625" style="1" bestFit="1" customWidth="1"/>
    <col min="11947" max="11948" width="12.33203125" style="1" bestFit="1" customWidth="1"/>
    <col min="11949" max="11949" width="13.44140625" style="1" bestFit="1" customWidth="1"/>
    <col min="11950" max="11953" width="12.33203125" style="1" bestFit="1" customWidth="1"/>
    <col min="11954" max="11954" width="14.33203125" style="1" customWidth="1"/>
    <col min="11955" max="11955" width="13.88671875" style="1" customWidth="1"/>
    <col min="11956" max="11956" width="13.33203125" style="1" customWidth="1"/>
    <col min="11957" max="11959" width="14.5546875" style="1" customWidth="1"/>
    <col min="11960" max="11960" width="17.33203125" style="1" customWidth="1"/>
    <col min="11961" max="11961" width="14.5546875" style="1" customWidth="1"/>
    <col min="11962" max="11962" width="15.5546875" style="1" customWidth="1"/>
    <col min="11963" max="11963" width="13.44140625" style="1" bestFit="1" customWidth="1"/>
    <col min="11964" max="11964" width="12.33203125" style="1" bestFit="1" customWidth="1"/>
    <col min="11965" max="11965" width="12.88671875" style="1" customWidth="1"/>
    <col min="11966" max="11966" width="14" style="1" customWidth="1"/>
    <col min="11967" max="11967" width="13.33203125" style="1" customWidth="1"/>
    <col min="11968" max="11968" width="13.44140625" style="1" customWidth="1"/>
    <col min="11969" max="11969" width="12.44140625" style="1" customWidth="1"/>
    <col min="11970" max="11970" width="12.109375" style="1" customWidth="1"/>
    <col min="11971" max="11971" width="13.33203125" style="1" customWidth="1"/>
    <col min="11972" max="11972" width="12.33203125" style="1" bestFit="1" customWidth="1"/>
    <col min="11973" max="11973" width="13.5546875" style="1" customWidth="1"/>
    <col min="11974" max="11974" width="13.44140625" style="1" bestFit="1" customWidth="1"/>
    <col min="11975" max="11976" width="12.33203125" style="1" bestFit="1" customWidth="1"/>
    <col min="11977" max="11980" width="13.44140625" style="1" bestFit="1" customWidth="1"/>
    <col min="11981" max="11981" width="15.44140625" style="1" customWidth="1"/>
    <col min="11982" max="11982" width="14.6640625" style="1" customWidth="1"/>
    <col min="11983" max="11983" width="15.109375" style="1" customWidth="1"/>
    <col min="11984" max="11984" width="15" style="1" customWidth="1"/>
    <col min="11985" max="11985" width="14.109375" style="1" customWidth="1"/>
    <col min="11986" max="11986" width="15.44140625" style="1" customWidth="1"/>
    <col min="11987" max="11987" width="17.44140625" style="1" customWidth="1"/>
    <col min="11988" max="11988" width="16.33203125" style="1" customWidth="1"/>
    <col min="11989" max="11991" width="15.5546875" style="1" customWidth="1"/>
    <col min="11992" max="11994" width="13.44140625" style="1" bestFit="1" customWidth="1"/>
    <col min="11995" max="11995" width="15.109375" style="1" customWidth="1"/>
    <col min="11996" max="11996" width="14.109375" style="1" customWidth="1"/>
    <col min="11997" max="11997" width="14.33203125" style="1" customWidth="1"/>
    <col min="11998" max="11998" width="14.88671875" style="1" customWidth="1"/>
    <col min="11999" max="11999" width="14.5546875" style="1" customWidth="1"/>
    <col min="12000" max="12000" width="16.44140625" style="1" customWidth="1"/>
    <col min="12001" max="12001" width="16.33203125" style="1" customWidth="1"/>
    <col min="12002" max="12002" width="15.88671875" style="1" customWidth="1"/>
    <col min="12003" max="12003" width="16.33203125" style="1" customWidth="1"/>
    <col min="12004" max="12004" width="17" style="1" customWidth="1"/>
    <col min="12005" max="12005" width="16.33203125" style="1" customWidth="1"/>
    <col min="12006" max="12006" width="15.109375" style="1" customWidth="1"/>
    <col min="12007" max="12007" width="14.88671875" style="1" customWidth="1"/>
    <col min="12008" max="12009" width="13.6640625" style="1" customWidth="1"/>
    <col min="12010" max="12010" width="14.109375" style="1" customWidth="1"/>
    <col min="12011" max="12011" width="15.33203125" style="1" customWidth="1"/>
    <col min="12012" max="12013" width="15.5546875" style="1" customWidth="1"/>
    <col min="12014" max="12014" width="17.5546875" style="1" customWidth="1"/>
    <col min="12015" max="12015" width="17.88671875" style="1" customWidth="1"/>
    <col min="12016" max="12016" width="17.33203125" style="1" customWidth="1"/>
    <col min="12017" max="12019" width="13.44140625" style="1" bestFit="1" customWidth="1"/>
    <col min="12020" max="12020" width="13.44140625" style="1" customWidth="1"/>
    <col min="12021" max="12022" width="13.88671875" style="1" customWidth="1"/>
    <col min="12023" max="12025" width="13.44140625" style="1" bestFit="1" customWidth="1"/>
    <col min="12026" max="12026" width="13" style="1" customWidth="1"/>
    <col min="12027" max="12027" width="13.33203125" style="1" customWidth="1"/>
    <col min="12028" max="12028" width="14.88671875" style="1" customWidth="1"/>
    <col min="12029" max="12031" width="13.44140625" style="1"/>
    <col min="12032" max="12032" width="55" style="1" bestFit="1" customWidth="1"/>
    <col min="12033" max="12037" width="10.88671875" style="1" bestFit="1" customWidth="1"/>
    <col min="12038" max="12056" width="12.33203125" style="1" bestFit="1" customWidth="1"/>
    <col min="12057" max="12058" width="10.88671875" style="1" bestFit="1" customWidth="1"/>
    <col min="12059" max="12059" width="12.33203125" style="1" bestFit="1" customWidth="1"/>
    <col min="12060" max="12060" width="10.88671875" style="1" bestFit="1" customWidth="1"/>
    <col min="12061" max="12061" width="12.33203125" style="1" customWidth="1"/>
    <col min="12062" max="12062" width="12.33203125" style="1" bestFit="1" customWidth="1"/>
    <col min="12063" max="12063" width="10.88671875" style="1" bestFit="1" customWidth="1"/>
    <col min="12064" max="12064" width="12.33203125" style="1" bestFit="1" customWidth="1"/>
    <col min="12065" max="12083" width="10.88671875" style="1" bestFit="1" customWidth="1"/>
    <col min="12084" max="12100" width="12.33203125" style="1" bestFit="1" customWidth="1"/>
    <col min="12101" max="12102" width="10.88671875" style="1" bestFit="1" customWidth="1"/>
    <col min="12103" max="12103" width="12.33203125" style="1" bestFit="1" customWidth="1"/>
    <col min="12104" max="12108" width="10.88671875" style="1" bestFit="1" customWidth="1"/>
    <col min="12109" max="12116" width="12.33203125" style="1" bestFit="1" customWidth="1"/>
    <col min="12117" max="12117" width="10.88671875" style="1" bestFit="1" customWidth="1"/>
    <col min="12118" max="12119" width="12.33203125" style="1" bestFit="1" customWidth="1"/>
    <col min="12120" max="12120" width="10.88671875" style="1" bestFit="1" customWidth="1"/>
    <col min="12121" max="12123" width="12.33203125" style="1" bestFit="1" customWidth="1"/>
    <col min="12124" max="12125" width="10.88671875" style="1" customWidth="1"/>
    <col min="12126" max="12126" width="10.88671875" style="1" bestFit="1" customWidth="1"/>
    <col min="12127" max="12127" width="10.88671875" style="1" customWidth="1"/>
    <col min="12128" max="12135" width="10.88671875" style="1" bestFit="1" customWidth="1"/>
    <col min="12136" max="12136" width="12.33203125" style="1" bestFit="1" customWidth="1"/>
    <col min="12137" max="12137" width="10.88671875" style="1" bestFit="1" customWidth="1"/>
    <col min="12138" max="12153" width="12.33203125" style="1" bestFit="1" customWidth="1"/>
    <col min="12154" max="12154" width="10.88671875" style="1" bestFit="1" customWidth="1"/>
    <col min="12155" max="12157" width="12.33203125" style="1" bestFit="1" customWidth="1"/>
    <col min="12158" max="12158" width="13.44140625" style="1" bestFit="1" customWidth="1"/>
    <col min="12159" max="12160" width="12.33203125" style="1" bestFit="1" customWidth="1"/>
    <col min="12161" max="12162" width="13.44140625" style="1" bestFit="1" customWidth="1"/>
    <col min="12163" max="12178" width="12.33203125" style="1" bestFit="1" customWidth="1"/>
    <col min="12179" max="12179" width="13.44140625" style="1" bestFit="1" customWidth="1"/>
    <col min="12180" max="12180" width="12.33203125" style="1" bestFit="1" customWidth="1"/>
    <col min="12181" max="12181" width="13.44140625" style="1" bestFit="1" customWidth="1"/>
    <col min="12182" max="12183" width="12.33203125" style="1" bestFit="1" customWidth="1"/>
    <col min="12184" max="12187" width="13.44140625" style="1" bestFit="1" customWidth="1"/>
    <col min="12188" max="12190" width="12.33203125" style="1" bestFit="1" customWidth="1"/>
    <col min="12191" max="12191" width="13.44140625" style="1" bestFit="1" customWidth="1"/>
    <col min="12192" max="12194" width="12.33203125" style="1" bestFit="1" customWidth="1"/>
    <col min="12195" max="12197" width="13.5546875" style="1" bestFit="1" customWidth="1"/>
    <col min="12198" max="12199" width="13.44140625" style="1" bestFit="1" customWidth="1"/>
    <col min="12200" max="12200" width="13.5546875" style="1" bestFit="1" customWidth="1"/>
    <col min="12201" max="12202" width="13.44140625" style="1" bestFit="1" customWidth="1"/>
    <col min="12203" max="12204" width="12.33203125" style="1" bestFit="1" customWidth="1"/>
    <col min="12205" max="12205" width="13.44140625" style="1" bestFit="1" customWidth="1"/>
    <col min="12206" max="12209" width="12.33203125" style="1" bestFit="1" customWidth="1"/>
    <col min="12210" max="12210" width="14.33203125" style="1" customWidth="1"/>
    <col min="12211" max="12211" width="13.88671875" style="1" customWidth="1"/>
    <col min="12212" max="12212" width="13.33203125" style="1" customWidth="1"/>
    <col min="12213" max="12215" width="14.5546875" style="1" customWidth="1"/>
    <col min="12216" max="12216" width="17.33203125" style="1" customWidth="1"/>
    <col min="12217" max="12217" width="14.5546875" style="1" customWidth="1"/>
    <col min="12218" max="12218" width="15.5546875" style="1" customWidth="1"/>
    <col min="12219" max="12219" width="13.44140625" style="1" bestFit="1" customWidth="1"/>
    <col min="12220" max="12220" width="12.33203125" style="1" bestFit="1" customWidth="1"/>
    <col min="12221" max="12221" width="12.88671875" style="1" customWidth="1"/>
    <col min="12222" max="12222" width="14" style="1" customWidth="1"/>
    <col min="12223" max="12223" width="13.33203125" style="1" customWidth="1"/>
    <col min="12224" max="12224" width="13.44140625" style="1" customWidth="1"/>
    <col min="12225" max="12225" width="12.44140625" style="1" customWidth="1"/>
    <col min="12226" max="12226" width="12.109375" style="1" customWidth="1"/>
    <col min="12227" max="12227" width="13.33203125" style="1" customWidth="1"/>
    <col min="12228" max="12228" width="12.33203125" style="1" bestFit="1" customWidth="1"/>
    <col min="12229" max="12229" width="13.5546875" style="1" customWidth="1"/>
    <col min="12230" max="12230" width="13.44140625" style="1" bestFit="1" customWidth="1"/>
    <col min="12231" max="12232" width="12.33203125" style="1" bestFit="1" customWidth="1"/>
    <col min="12233" max="12236" width="13.44140625" style="1" bestFit="1" customWidth="1"/>
    <col min="12237" max="12237" width="15.44140625" style="1" customWidth="1"/>
    <col min="12238" max="12238" width="14.6640625" style="1" customWidth="1"/>
    <col min="12239" max="12239" width="15.109375" style="1" customWidth="1"/>
    <col min="12240" max="12240" width="15" style="1" customWidth="1"/>
    <col min="12241" max="12241" width="14.109375" style="1" customWidth="1"/>
    <col min="12242" max="12242" width="15.44140625" style="1" customWidth="1"/>
    <col min="12243" max="12243" width="17.44140625" style="1" customWidth="1"/>
    <col min="12244" max="12244" width="16.33203125" style="1" customWidth="1"/>
    <col min="12245" max="12247" width="15.5546875" style="1" customWidth="1"/>
    <col min="12248" max="12250" width="13.44140625" style="1" bestFit="1" customWidth="1"/>
    <col min="12251" max="12251" width="15.109375" style="1" customWidth="1"/>
    <col min="12252" max="12252" width="14.109375" style="1" customWidth="1"/>
    <col min="12253" max="12253" width="14.33203125" style="1" customWidth="1"/>
    <col min="12254" max="12254" width="14.88671875" style="1" customWidth="1"/>
    <col min="12255" max="12255" width="14.5546875" style="1" customWidth="1"/>
    <col min="12256" max="12256" width="16.44140625" style="1" customWidth="1"/>
    <col min="12257" max="12257" width="16.33203125" style="1" customWidth="1"/>
    <col min="12258" max="12258" width="15.88671875" style="1" customWidth="1"/>
    <col min="12259" max="12259" width="16.33203125" style="1" customWidth="1"/>
    <col min="12260" max="12260" width="17" style="1" customWidth="1"/>
    <col min="12261" max="12261" width="16.33203125" style="1" customWidth="1"/>
    <col min="12262" max="12262" width="15.109375" style="1" customWidth="1"/>
    <col min="12263" max="12263" width="14.88671875" style="1" customWidth="1"/>
    <col min="12264" max="12265" width="13.6640625" style="1" customWidth="1"/>
    <col min="12266" max="12266" width="14.109375" style="1" customWidth="1"/>
    <col min="12267" max="12267" width="15.33203125" style="1" customWidth="1"/>
    <col min="12268" max="12269" width="15.5546875" style="1" customWidth="1"/>
    <col min="12270" max="12270" width="17.5546875" style="1" customWidth="1"/>
    <col min="12271" max="12271" width="17.88671875" style="1" customWidth="1"/>
    <col min="12272" max="12272" width="17.33203125" style="1" customWidth="1"/>
    <col min="12273" max="12275" width="13.44140625" style="1" bestFit="1" customWidth="1"/>
    <col min="12276" max="12276" width="13.44140625" style="1" customWidth="1"/>
    <col min="12277" max="12278" width="13.88671875" style="1" customWidth="1"/>
    <col min="12279" max="12281" width="13.44140625" style="1" bestFit="1" customWidth="1"/>
    <col min="12282" max="12282" width="13" style="1" customWidth="1"/>
    <col min="12283" max="12283" width="13.33203125" style="1" customWidth="1"/>
    <col min="12284" max="12284" width="14.88671875" style="1" customWidth="1"/>
    <col min="12285" max="12287" width="13.44140625" style="1"/>
    <col min="12288" max="12288" width="55" style="1" bestFit="1" customWidth="1"/>
    <col min="12289" max="12293" width="10.88671875" style="1" bestFit="1" customWidth="1"/>
    <col min="12294" max="12312" width="12.33203125" style="1" bestFit="1" customWidth="1"/>
    <col min="12313" max="12314" width="10.88671875" style="1" bestFit="1" customWidth="1"/>
    <col min="12315" max="12315" width="12.33203125" style="1" bestFit="1" customWidth="1"/>
    <col min="12316" max="12316" width="10.88671875" style="1" bestFit="1" customWidth="1"/>
    <col min="12317" max="12317" width="12.33203125" style="1" customWidth="1"/>
    <col min="12318" max="12318" width="12.33203125" style="1" bestFit="1" customWidth="1"/>
    <col min="12319" max="12319" width="10.88671875" style="1" bestFit="1" customWidth="1"/>
    <col min="12320" max="12320" width="12.33203125" style="1" bestFit="1" customWidth="1"/>
    <col min="12321" max="12339" width="10.88671875" style="1" bestFit="1" customWidth="1"/>
    <col min="12340" max="12356" width="12.33203125" style="1" bestFit="1" customWidth="1"/>
    <col min="12357" max="12358" width="10.88671875" style="1" bestFit="1" customWidth="1"/>
    <col min="12359" max="12359" width="12.33203125" style="1" bestFit="1" customWidth="1"/>
    <col min="12360" max="12364" width="10.88671875" style="1" bestFit="1" customWidth="1"/>
    <col min="12365" max="12372" width="12.33203125" style="1" bestFit="1" customWidth="1"/>
    <col min="12373" max="12373" width="10.88671875" style="1" bestFit="1" customWidth="1"/>
    <col min="12374" max="12375" width="12.33203125" style="1" bestFit="1" customWidth="1"/>
    <col min="12376" max="12376" width="10.88671875" style="1" bestFit="1" customWidth="1"/>
    <col min="12377" max="12379" width="12.33203125" style="1" bestFit="1" customWidth="1"/>
    <col min="12380" max="12381" width="10.88671875" style="1" customWidth="1"/>
    <col min="12382" max="12382" width="10.88671875" style="1" bestFit="1" customWidth="1"/>
    <col min="12383" max="12383" width="10.88671875" style="1" customWidth="1"/>
    <col min="12384" max="12391" width="10.88671875" style="1" bestFit="1" customWidth="1"/>
    <col min="12392" max="12392" width="12.33203125" style="1" bestFit="1" customWidth="1"/>
    <col min="12393" max="12393" width="10.88671875" style="1" bestFit="1" customWidth="1"/>
    <col min="12394" max="12409" width="12.33203125" style="1" bestFit="1" customWidth="1"/>
    <col min="12410" max="12410" width="10.88671875" style="1" bestFit="1" customWidth="1"/>
    <col min="12411" max="12413" width="12.33203125" style="1" bestFit="1" customWidth="1"/>
    <col min="12414" max="12414" width="13.44140625" style="1" bestFit="1" customWidth="1"/>
    <col min="12415" max="12416" width="12.33203125" style="1" bestFit="1" customWidth="1"/>
    <col min="12417" max="12418" width="13.44140625" style="1" bestFit="1" customWidth="1"/>
    <col min="12419" max="12434" width="12.33203125" style="1" bestFit="1" customWidth="1"/>
    <col min="12435" max="12435" width="13.44140625" style="1" bestFit="1" customWidth="1"/>
    <col min="12436" max="12436" width="12.33203125" style="1" bestFit="1" customWidth="1"/>
    <col min="12437" max="12437" width="13.44140625" style="1" bestFit="1" customWidth="1"/>
    <col min="12438" max="12439" width="12.33203125" style="1" bestFit="1" customWidth="1"/>
    <col min="12440" max="12443" width="13.44140625" style="1" bestFit="1" customWidth="1"/>
    <col min="12444" max="12446" width="12.33203125" style="1" bestFit="1" customWidth="1"/>
    <col min="12447" max="12447" width="13.44140625" style="1" bestFit="1" customWidth="1"/>
    <col min="12448" max="12450" width="12.33203125" style="1" bestFit="1" customWidth="1"/>
    <col min="12451" max="12453" width="13.5546875" style="1" bestFit="1" customWidth="1"/>
    <col min="12454" max="12455" width="13.44140625" style="1" bestFit="1" customWidth="1"/>
    <col min="12456" max="12456" width="13.5546875" style="1" bestFit="1" customWidth="1"/>
    <col min="12457" max="12458" width="13.44140625" style="1" bestFit="1" customWidth="1"/>
    <col min="12459" max="12460" width="12.33203125" style="1" bestFit="1" customWidth="1"/>
    <col min="12461" max="12461" width="13.44140625" style="1" bestFit="1" customWidth="1"/>
    <col min="12462" max="12465" width="12.33203125" style="1" bestFit="1" customWidth="1"/>
    <col min="12466" max="12466" width="14.33203125" style="1" customWidth="1"/>
    <col min="12467" max="12467" width="13.88671875" style="1" customWidth="1"/>
    <col min="12468" max="12468" width="13.33203125" style="1" customWidth="1"/>
    <col min="12469" max="12471" width="14.5546875" style="1" customWidth="1"/>
    <col min="12472" max="12472" width="17.33203125" style="1" customWidth="1"/>
    <col min="12473" max="12473" width="14.5546875" style="1" customWidth="1"/>
    <col min="12474" max="12474" width="15.5546875" style="1" customWidth="1"/>
    <col min="12475" max="12475" width="13.44140625" style="1" bestFit="1" customWidth="1"/>
    <col min="12476" max="12476" width="12.33203125" style="1" bestFit="1" customWidth="1"/>
    <col min="12477" max="12477" width="12.88671875" style="1" customWidth="1"/>
    <col min="12478" max="12478" width="14" style="1" customWidth="1"/>
    <col min="12479" max="12479" width="13.33203125" style="1" customWidth="1"/>
    <col min="12480" max="12480" width="13.44140625" style="1" customWidth="1"/>
    <col min="12481" max="12481" width="12.44140625" style="1" customWidth="1"/>
    <col min="12482" max="12482" width="12.109375" style="1" customWidth="1"/>
    <col min="12483" max="12483" width="13.33203125" style="1" customWidth="1"/>
    <col min="12484" max="12484" width="12.33203125" style="1" bestFit="1" customWidth="1"/>
    <col min="12485" max="12485" width="13.5546875" style="1" customWidth="1"/>
    <col min="12486" max="12486" width="13.44140625" style="1" bestFit="1" customWidth="1"/>
    <col min="12487" max="12488" width="12.33203125" style="1" bestFit="1" customWidth="1"/>
    <col min="12489" max="12492" width="13.44140625" style="1" bestFit="1" customWidth="1"/>
    <col min="12493" max="12493" width="15.44140625" style="1" customWidth="1"/>
    <col min="12494" max="12494" width="14.6640625" style="1" customWidth="1"/>
    <col min="12495" max="12495" width="15.109375" style="1" customWidth="1"/>
    <col min="12496" max="12496" width="15" style="1" customWidth="1"/>
    <col min="12497" max="12497" width="14.109375" style="1" customWidth="1"/>
    <col min="12498" max="12498" width="15.44140625" style="1" customWidth="1"/>
    <col min="12499" max="12499" width="17.44140625" style="1" customWidth="1"/>
    <col min="12500" max="12500" width="16.33203125" style="1" customWidth="1"/>
    <col min="12501" max="12503" width="15.5546875" style="1" customWidth="1"/>
    <col min="12504" max="12506" width="13.44140625" style="1" bestFit="1" customWidth="1"/>
    <col min="12507" max="12507" width="15.109375" style="1" customWidth="1"/>
    <col min="12508" max="12508" width="14.109375" style="1" customWidth="1"/>
    <col min="12509" max="12509" width="14.33203125" style="1" customWidth="1"/>
    <col min="12510" max="12510" width="14.88671875" style="1" customWidth="1"/>
    <col min="12511" max="12511" width="14.5546875" style="1" customWidth="1"/>
    <col min="12512" max="12512" width="16.44140625" style="1" customWidth="1"/>
    <col min="12513" max="12513" width="16.33203125" style="1" customWidth="1"/>
    <col min="12514" max="12514" width="15.88671875" style="1" customWidth="1"/>
    <col min="12515" max="12515" width="16.33203125" style="1" customWidth="1"/>
    <col min="12516" max="12516" width="17" style="1" customWidth="1"/>
    <col min="12517" max="12517" width="16.33203125" style="1" customWidth="1"/>
    <col min="12518" max="12518" width="15.109375" style="1" customWidth="1"/>
    <col min="12519" max="12519" width="14.88671875" style="1" customWidth="1"/>
    <col min="12520" max="12521" width="13.6640625" style="1" customWidth="1"/>
    <col min="12522" max="12522" width="14.109375" style="1" customWidth="1"/>
    <col min="12523" max="12523" width="15.33203125" style="1" customWidth="1"/>
    <col min="12524" max="12525" width="15.5546875" style="1" customWidth="1"/>
    <col min="12526" max="12526" width="17.5546875" style="1" customWidth="1"/>
    <col min="12527" max="12527" width="17.88671875" style="1" customWidth="1"/>
    <col min="12528" max="12528" width="17.33203125" style="1" customWidth="1"/>
    <col min="12529" max="12531" width="13.44140625" style="1" bestFit="1" customWidth="1"/>
    <col min="12532" max="12532" width="13.44140625" style="1" customWidth="1"/>
    <col min="12533" max="12534" width="13.88671875" style="1" customWidth="1"/>
    <col min="12535" max="12537" width="13.44140625" style="1" bestFit="1" customWidth="1"/>
    <col min="12538" max="12538" width="13" style="1" customWidth="1"/>
    <col min="12539" max="12539" width="13.33203125" style="1" customWidth="1"/>
    <col min="12540" max="12540" width="14.88671875" style="1" customWidth="1"/>
    <col min="12541" max="12543" width="13.44140625" style="1"/>
    <col min="12544" max="12544" width="55" style="1" bestFit="1" customWidth="1"/>
    <col min="12545" max="12549" width="10.88671875" style="1" bestFit="1" customWidth="1"/>
    <col min="12550" max="12568" width="12.33203125" style="1" bestFit="1" customWidth="1"/>
    <col min="12569" max="12570" width="10.88671875" style="1" bestFit="1" customWidth="1"/>
    <col min="12571" max="12571" width="12.33203125" style="1" bestFit="1" customWidth="1"/>
    <col min="12572" max="12572" width="10.88671875" style="1" bestFit="1" customWidth="1"/>
    <col min="12573" max="12573" width="12.33203125" style="1" customWidth="1"/>
    <col min="12574" max="12574" width="12.33203125" style="1" bestFit="1" customWidth="1"/>
    <col min="12575" max="12575" width="10.88671875" style="1" bestFit="1" customWidth="1"/>
    <col min="12576" max="12576" width="12.33203125" style="1" bestFit="1" customWidth="1"/>
    <col min="12577" max="12595" width="10.88671875" style="1" bestFit="1" customWidth="1"/>
    <col min="12596" max="12612" width="12.33203125" style="1" bestFit="1" customWidth="1"/>
    <col min="12613" max="12614" width="10.88671875" style="1" bestFit="1" customWidth="1"/>
    <col min="12615" max="12615" width="12.33203125" style="1" bestFit="1" customWidth="1"/>
    <col min="12616" max="12620" width="10.88671875" style="1" bestFit="1" customWidth="1"/>
    <col min="12621" max="12628" width="12.33203125" style="1" bestFit="1" customWidth="1"/>
    <col min="12629" max="12629" width="10.88671875" style="1" bestFit="1" customWidth="1"/>
    <col min="12630" max="12631" width="12.33203125" style="1" bestFit="1" customWidth="1"/>
    <col min="12632" max="12632" width="10.88671875" style="1" bestFit="1" customWidth="1"/>
    <col min="12633" max="12635" width="12.33203125" style="1" bestFit="1" customWidth="1"/>
    <col min="12636" max="12637" width="10.88671875" style="1" customWidth="1"/>
    <col min="12638" max="12638" width="10.88671875" style="1" bestFit="1" customWidth="1"/>
    <col min="12639" max="12639" width="10.88671875" style="1" customWidth="1"/>
    <col min="12640" max="12647" width="10.88671875" style="1" bestFit="1" customWidth="1"/>
    <col min="12648" max="12648" width="12.33203125" style="1" bestFit="1" customWidth="1"/>
    <col min="12649" max="12649" width="10.88671875" style="1" bestFit="1" customWidth="1"/>
    <col min="12650" max="12665" width="12.33203125" style="1" bestFit="1" customWidth="1"/>
    <col min="12666" max="12666" width="10.88671875" style="1" bestFit="1" customWidth="1"/>
    <col min="12667" max="12669" width="12.33203125" style="1" bestFit="1" customWidth="1"/>
    <col min="12670" max="12670" width="13.44140625" style="1" bestFit="1" customWidth="1"/>
    <col min="12671" max="12672" width="12.33203125" style="1" bestFit="1" customWidth="1"/>
    <col min="12673" max="12674" width="13.44140625" style="1" bestFit="1" customWidth="1"/>
    <col min="12675" max="12690" width="12.33203125" style="1" bestFit="1" customWidth="1"/>
    <col min="12691" max="12691" width="13.44140625" style="1" bestFit="1" customWidth="1"/>
    <col min="12692" max="12692" width="12.33203125" style="1" bestFit="1" customWidth="1"/>
    <col min="12693" max="12693" width="13.44140625" style="1" bestFit="1" customWidth="1"/>
    <col min="12694" max="12695" width="12.33203125" style="1" bestFit="1" customWidth="1"/>
    <col min="12696" max="12699" width="13.44140625" style="1" bestFit="1" customWidth="1"/>
    <col min="12700" max="12702" width="12.33203125" style="1" bestFit="1" customWidth="1"/>
    <col min="12703" max="12703" width="13.44140625" style="1" bestFit="1" customWidth="1"/>
    <col min="12704" max="12706" width="12.33203125" style="1" bestFit="1" customWidth="1"/>
    <col min="12707" max="12709" width="13.5546875" style="1" bestFit="1" customWidth="1"/>
    <col min="12710" max="12711" width="13.44140625" style="1" bestFit="1" customWidth="1"/>
    <col min="12712" max="12712" width="13.5546875" style="1" bestFit="1" customWidth="1"/>
    <col min="12713" max="12714" width="13.44140625" style="1" bestFit="1" customWidth="1"/>
    <col min="12715" max="12716" width="12.33203125" style="1" bestFit="1" customWidth="1"/>
    <col min="12717" max="12717" width="13.44140625" style="1" bestFit="1" customWidth="1"/>
    <col min="12718" max="12721" width="12.33203125" style="1" bestFit="1" customWidth="1"/>
    <col min="12722" max="12722" width="14.33203125" style="1" customWidth="1"/>
    <col min="12723" max="12723" width="13.88671875" style="1" customWidth="1"/>
    <col min="12724" max="12724" width="13.33203125" style="1" customWidth="1"/>
    <col min="12725" max="12727" width="14.5546875" style="1" customWidth="1"/>
    <col min="12728" max="12728" width="17.33203125" style="1" customWidth="1"/>
    <col min="12729" max="12729" width="14.5546875" style="1" customWidth="1"/>
    <col min="12730" max="12730" width="15.5546875" style="1" customWidth="1"/>
    <col min="12731" max="12731" width="13.44140625" style="1" bestFit="1" customWidth="1"/>
    <col min="12732" max="12732" width="12.33203125" style="1" bestFit="1" customWidth="1"/>
    <col min="12733" max="12733" width="12.88671875" style="1" customWidth="1"/>
    <col min="12734" max="12734" width="14" style="1" customWidth="1"/>
    <col min="12735" max="12735" width="13.33203125" style="1" customWidth="1"/>
    <col min="12736" max="12736" width="13.44140625" style="1" customWidth="1"/>
    <col min="12737" max="12737" width="12.44140625" style="1" customWidth="1"/>
    <col min="12738" max="12738" width="12.109375" style="1" customWidth="1"/>
    <col min="12739" max="12739" width="13.33203125" style="1" customWidth="1"/>
    <col min="12740" max="12740" width="12.33203125" style="1" bestFit="1" customWidth="1"/>
    <col min="12741" max="12741" width="13.5546875" style="1" customWidth="1"/>
    <col min="12742" max="12742" width="13.44140625" style="1" bestFit="1" customWidth="1"/>
    <col min="12743" max="12744" width="12.33203125" style="1" bestFit="1" customWidth="1"/>
    <col min="12745" max="12748" width="13.44140625" style="1" bestFit="1" customWidth="1"/>
    <col min="12749" max="12749" width="15.44140625" style="1" customWidth="1"/>
    <col min="12750" max="12750" width="14.6640625" style="1" customWidth="1"/>
    <col min="12751" max="12751" width="15.109375" style="1" customWidth="1"/>
    <col min="12752" max="12752" width="15" style="1" customWidth="1"/>
    <col min="12753" max="12753" width="14.109375" style="1" customWidth="1"/>
    <col min="12754" max="12754" width="15.44140625" style="1" customWidth="1"/>
    <col min="12755" max="12755" width="17.44140625" style="1" customWidth="1"/>
    <col min="12756" max="12756" width="16.33203125" style="1" customWidth="1"/>
    <col min="12757" max="12759" width="15.5546875" style="1" customWidth="1"/>
    <col min="12760" max="12762" width="13.44140625" style="1" bestFit="1" customWidth="1"/>
    <col min="12763" max="12763" width="15.109375" style="1" customWidth="1"/>
    <col min="12764" max="12764" width="14.109375" style="1" customWidth="1"/>
    <col min="12765" max="12765" width="14.33203125" style="1" customWidth="1"/>
    <col min="12766" max="12766" width="14.88671875" style="1" customWidth="1"/>
    <col min="12767" max="12767" width="14.5546875" style="1" customWidth="1"/>
    <col min="12768" max="12768" width="16.44140625" style="1" customWidth="1"/>
    <col min="12769" max="12769" width="16.33203125" style="1" customWidth="1"/>
    <col min="12770" max="12770" width="15.88671875" style="1" customWidth="1"/>
    <col min="12771" max="12771" width="16.33203125" style="1" customWidth="1"/>
    <col min="12772" max="12772" width="17" style="1" customWidth="1"/>
    <col min="12773" max="12773" width="16.33203125" style="1" customWidth="1"/>
    <col min="12774" max="12774" width="15.109375" style="1" customWidth="1"/>
    <col min="12775" max="12775" width="14.88671875" style="1" customWidth="1"/>
    <col min="12776" max="12777" width="13.6640625" style="1" customWidth="1"/>
    <col min="12778" max="12778" width="14.109375" style="1" customWidth="1"/>
    <col min="12779" max="12779" width="15.33203125" style="1" customWidth="1"/>
    <col min="12780" max="12781" width="15.5546875" style="1" customWidth="1"/>
    <col min="12782" max="12782" width="17.5546875" style="1" customWidth="1"/>
    <col min="12783" max="12783" width="17.88671875" style="1" customWidth="1"/>
    <col min="12784" max="12784" width="17.33203125" style="1" customWidth="1"/>
    <col min="12785" max="12787" width="13.44140625" style="1" bestFit="1" customWidth="1"/>
    <col min="12788" max="12788" width="13.44140625" style="1" customWidth="1"/>
    <col min="12789" max="12790" width="13.88671875" style="1" customWidth="1"/>
    <col min="12791" max="12793" width="13.44140625" style="1" bestFit="1" customWidth="1"/>
    <col min="12794" max="12794" width="13" style="1" customWidth="1"/>
    <col min="12795" max="12795" width="13.33203125" style="1" customWidth="1"/>
    <col min="12796" max="12796" width="14.88671875" style="1" customWidth="1"/>
    <col min="12797" max="12799" width="13.44140625" style="1"/>
    <col min="12800" max="12800" width="55" style="1" bestFit="1" customWidth="1"/>
    <col min="12801" max="12805" width="10.88671875" style="1" bestFit="1" customWidth="1"/>
    <col min="12806" max="12824" width="12.33203125" style="1" bestFit="1" customWidth="1"/>
    <col min="12825" max="12826" width="10.88671875" style="1" bestFit="1" customWidth="1"/>
    <col min="12827" max="12827" width="12.33203125" style="1" bestFit="1" customWidth="1"/>
    <col min="12828" max="12828" width="10.88671875" style="1" bestFit="1" customWidth="1"/>
    <col min="12829" max="12829" width="12.33203125" style="1" customWidth="1"/>
    <col min="12830" max="12830" width="12.33203125" style="1" bestFit="1" customWidth="1"/>
    <col min="12831" max="12831" width="10.88671875" style="1" bestFit="1" customWidth="1"/>
    <col min="12832" max="12832" width="12.33203125" style="1" bestFit="1" customWidth="1"/>
    <col min="12833" max="12851" width="10.88671875" style="1" bestFit="1" customWidth="1"/>
    <col min="12852" max="12868" width="12.33203125" style="1" bestFit="1" customWidth="1"/>
    <col min="12869" max="12870" width="10.88671875" style="1" bestFit="1" customWidth="1"/>
    <col min="12871" max="12871" width="12.33203125" style="1" bestFit="1" customWidth="1"/>
    <col min="12872" max="12876" width="10.88671875" style="1" bestFit="1" customWidth="1"/>
    <col min="12877" max="12884" width="12.33203125" style="1" bestFit="1" customWidth="1"/>
    <col min="12885" max="12885" width="10.88671875" style="1" bestFit="1" customWidth="1"/>
    <col min="12886" max="12887" width="12.33203125" style="1" bestFit="1" customWidth="1"/>
    <col min="12888" max="12888" width="10.88671875" style="1" bestFit="1" customWidth="1"/>
    <col min="12889" max="12891" width="12.33203125" style="1" bestFit="1" customWidth="1"/>
    <col min="12892" max="12893" width="10.88671875" style="1" customWidth="1"/>
    <col min="12894" max="12894" width="10.88671875" style="1" bestFit="1" customWidth="1"/>
    <col min="12895" max="12895" width="10.88671875" style="1" customWidth="1"/>
    <col min="12896" max="12903" width="10.88671875" style="1" bestFit="1" customWidth="1"/>
    <col min="12904" max="12904" width="12.33203125" style="1" bestFit="1" customWidth="1"/>
    <col min="12905" max="12905" width="10.88671875" style="1" bestFit="1" customWidth="1"/>
    <col min="12906" max="12921" width="12.33203125" style="1" bestFit="1" customWidth="1"/>
    <col min="12922" max="12922" width="10.88671875" style="1" bestFit="1" customWidth="1"/>
    <col min="12923" max="12925" width="12.33203125" style="1" bestFit="1" customWidth="1"/>
    <col min="12926" max="12926" width="13.44140625" style="1" bestFit="1" customWidth="1"/>
    <col min="12927" max="12928" width="12.33203125" style="1" bestFit="1" customWidth="1"/>
    <col min="12929" max="12930" width="13.44140625" style="1" bestFit="1" customWidth="1"/>
    <col min="12931" max="12946" width="12.33203125" style="1" bestFit="1" customWidth="1"/>
    <col min="12947" max="12947" width="13.44140625" style="1" bestFit="1" customWidth="1"/>
    <col min="12948" max="12948" width="12.33203125" style="1" bestFit="1" customWidth="1"/>
    <col min="12949" max="12949" width="13.44140625" style="1" bestFit="1" customWidth="1"/>
    <col min="12950" max="12951" width="12.33203125" style="1" bestFit="1" customWidth="1"/>
    <col min="12952" max="12955" width="13.44140625" style="1" bestFit="1" customWidth="1"/>
    <col min="12956" max="12958" width="12.33203125" style="1" bestFit="1" customWidth="1"/>
    <col min="12959" max="12959" width="13.44140625" style="1" bestFit="1" customWidth="1"/>
    <col min="12960" max="12962" width="12.33203125" style="1" bestFit="1" customWidth="1"/>
    <col min="12963" max="12965" width="13.5546875" style="1" bestFit="1" customWidth="1"/>
    <col min="12966" max="12967" width="13.44140625" style="1" bestFit="1" customWidth="1"/>
    <col min="12968" max="12968" width="13.5546875" style="1" bestFit="1" customWidth="1"/>
    <col min="12969" max="12970" width="13.44140625" style="1" bestFit="1" customWidth="1"/>
    <col min="12971" max="12972" width="12.33203125" style="1" bestFit="1" customWidth="1"/>
    <col min="12973" max="12973" width="13.44140625" style="1" bestFit="1" customWidth="1"/>
    <col min="12974" max="12977" width="12.33203125" style="1" bestFit="1" customWidth="1"/>
    <col min="12978" max="12978" width="14.33203125" style="1" customWidth="1"/>
    <col min="12979" max="12979" width="13.88671875" style="1" customWidth="1"/>
    <col min="12980" max="12980" width="13.33203125" style="1" customWidth="1"/>
    <col min="12981" max="12983" width="14.5546875" style="1" customWidth="1"/>
    <col min="12984" max="12984" width="17.33203125" style="1" customWidth="1"/>
    <col min="12985" max="12985" width="14.5546875" style="1" customWidth="1"/>
    <col min="12986" max="12986" width="15.5546875" style="1" customWidth="1"/>
    <col min="12987" max="12987" width="13.44140625" style="1" bestFit="1" customWidth="1"/>
    <col min="12988" max="12988" width="12.33203125" style="1" bestFit="1" customWidth="1"/>
    <col min="12989" max="12989" width="12.88671875" style="1" customWidth="1"/>
    <col min="12990" max="12990" width="14" style="1" customWidth="1"/>
    <col min="12991" max="12991" width="13.33203125" style="1" customWidth="1"/>
    <col min="12992" max="12992" width="13.44140625" style="1" customWidth="1"/>
    <col min="12993" max="12993" width="12.44140625" style="1" customWidth="1"/>
    <col min="12994" max="12994" width="12.109375" style="1" customWidth="1"/>
    <col min="12995" max="12995" width="13.33203125" style="1" customWidth="1"/>
    <col min="12996" max="12996" width="12.33203125" style="1" bestFit="1" customWidth="1"/>
    <col min="12997" max="12997" width="13.5546875" style="1" customWidth="1"/>
    <col min="12998" max="12998" width="13.44140625" style="1" bestFit="1" customWidth="1"/>
    <col min="12999" max="13000" width="12.33203125" style="1" bestFit="1" customWidth="1"/>
    <col min="13001" max="13004" width="13.44140625" style="1" bestFit="1" customWidth="1"/>
    <col min="13005" max="13005" width="15.44140625" style="1" customWidth="1"/>
    <col min="13006" max="13006" width="14.6640625" style="1" customWidth="1"/>
    <col min="13007" max="13007" width="15.109375" style="1" customWidth="1"/>
    <col min="13008" max="13008" width="15" style="1" customWidth="1"/>
    <col min="13009" max="13009" width="14.109375" style="1" customWidth="1"/>
    <col min="13010" max="13010" width="15.44140625" style="1" customWidth="1"/>
    <col min="13011" max="13011" width="17.44140625" style="1" customWidth="1"/>
    <col min="13012" max="13012" width="16.33203125" style="1" customWidth="1"/>
    <col min="13013" max="13015" width="15.5546875" style="1" customWidth="1"/>
    <col min="13016" max="13018" width="13.44140625" style="1" bestFit="1" customWidth="1"/>
    <col min="13019" max="13019" width="15.109375" style="1" customWidth="1"/>
    <col min="13020" max="13020" width="14.109375" style="1" customWidth="1"/>
    <col min="13021" max="13021" width="14.33203125" style="1" customWidth="1"/>
    <col min="13022" max="13022" width="14.88671875" style="1" customWidth="1"/>
    <col min="13023" max="13023" width="14.5546875" style="1" customWidth="1"/>
    <col min="13024" max="13024" width="16.44140625" style="1" customWidth="1"/>
    <col min="13025" max="13025" width="16.33203125" style="1" customWidth="1"/>
    <col min="13026" max="13026" width="15.88671875" style="1" customWidth="1"/>
    <col min="13027" max="13027" width="16.33203125" style="1" customWidth="1"/>
    <col min="13028" max="13028" width="17" style="1" customWidth="1"/>
    <col min="13029" max="13029" width="16.33203125" style="1" customWidth="1"/>
    <col min="13030" max="13030" width="15.109375" style="1" customWidth="1"/>
    <col min="13031" max="13031" width="14.88671875" style="1" customWidth="1"/>
    <col min="13032" max="13033" width="13.6640625" style="1" customWidth="1"/>
    <col min="13034" max="13034" width="14.109375" style="1" customWidth="1"/>
    <col min="13035" max="13035" width="15.33203125" style="1" customWidth="1"/>
    <col min="13036" max="13037" width="15.5546875" style="1" customWidth="1"/>
    <col min="13038" max="13038" width="17.5546875" style="1" customWidth="1"/>
    <col min="13039" max="13039" width="17.88671875" style="1" customWidth="1"/>
    <col min="13040" max="13040" width="17.33203125" style="1" customWidth="1"/>
    <col min="13041" max="13043" width="13.44140625" style="1" bestFit="1" customWidth="1"/>
    <col min="13044" max="13044" width="13.44140625" style="1" customWidth="1"/>
    <col min="13045" max="13046" width="13.88671875" style="1" customWidth="1"/>
    <col min="13047" max="13049" width="13.44140625" style="1" bestFit="1" customWidth="1"/>
    <col min="13050" max="13050" width="13" style="1" customWidth="1"/>
    <col min="13051" max="13051" width="13.33203125" style="1" customWidth="1"/>
    <col min="13052" max="13052" width="14.88671875" style="1" customWidth="1"/>
    <col min="13053" max="13055" width="13.44140625" style="1"/>
    <col min="13056" max="13056" width="55" style="1" bestFit="1" customWidth="1"/>
    <col min="13057" max="13061" width="10.88671875" style="1" bestFit="1" customWidth="1"/>
    <col min="13062" max="13080" width="12.33203125" style="1" bestFit="1" customWidth="1"/>
    <col min="13081" max="13082" width="10.88671875" style="1" bestFit="1" customWidth="1"/>
    <col min="13083" max="13083" width="12.33203125" style="1" bestFit="1" customWidth="1"/>
    <col min="13084" max="13084" width="10.88671875" style="1" bestFit="1" customWidth="1"/>
    <col min="13085" max="13085" width="12.33203125" style="1" customWidth="1"/>
    <col min="13086" max="13086" width="12.33203125" style="1" bestFit="1" customWidth="1"/>
    <col min="13087" max="13087" width="10.88671875" style="1" bestFit="1" customWidth="1"/>
    <col min="13088" max="13088" width="12.33203125" style="1" bestFit="1" customWidth="1"/>
    <col min="13089" max="13107" width="10.88671875" style="1" bestFit="1" customWidth="1"/>
    <col min="13108" max="13124" width="12.33203125" style="1" bestFit="1" customWidth="1"/>
    <col min="13125" max="13126" width="10.88671875" style="1" bestFit="1" customWidth="1"/>
    <col min="13127" max="13127" width="12.33203125" style="1" bestFit="1" customWidth="1"/>
    <col min="13128" max="13132" width="10.88671875" style="1" bestFit="1" customWidth="1"/>
    <col min="13133" max="13140" width="12.33203125" style="1" bestFit="1" customWidth="1"/>
    <col min="13141" max="13141" width="10.88671875" style="1" bestFit="1" customWidth="1"/>
    <col min="13142" max="13143" width="12.33203125" style="1" bestFit="1" customWidth="1"/>
    <col min="13144" max="13144" width="10.88671875" style="1" bestFit="1" customWidth="1"/>
    <col min="13145" max="13147" width="12.33203125" style="1" bestFit="1" customWidth="1"/>
    <col min="13148" max="13149" width="10.88671875" style="1" customWidth="1"/>
    <col min="13150" max="13150" width="10.88671875" style="1" bestFit="1" customWidth="1"/>
    <col min="13151" max="13151" width="10.88671875" style="1" customWidth="1"/>
    <col min="13152" max="13159" width="10.88671875" style="1" bestFit="1" customWidth="1"/>
    <col min="13160" max="13160" width="12.33203125" style="1" bestFit="1" customWidth="1"/>
    <col min="13161" max="13161" width="10.88671875" style="1" bestFit="1" customWidth="1"/>
    <col min="13162" max="13177" width="12.33203125" style="1" bestFit="1" customWidth="1"/>
    <col min="13178" max="13178" width="10.88671875" style="1" bestFit="1" customWidth="1"/>
    <col min="13179" max="13181" width="12.33203125" style="1" bestFit="1" customWidth="1"/>
    <col min="13182" max="13182" width="13.44140625" style="1" bestFit="1" customWidth="1"/>
    <col min="13183" max="13184" width="12.33203125" style="1" bestFit="1" customWidth="1"/>
    <col min="13185" max="13186" width="13.44140625" style="1" bestFit="1" customWidth="1"/>
    <col min="13187" max="13202" width="12.33203125" style="1" bestFit="1" customWidth="1"/>
    <col min="13203" max="13203" width="13.44140625" style="1" bestFit="1" customWidth="1"/>
    <col min="13204" max="13204" width="12.33203125" style="1" bestFit="1" customWidth="1"/>
    <col min="13205" max="13205" width="13.44140625" style="1" bestFit="1" customWidth="1"/>
    <col min="13206" max="13207" width="12.33203125" style="1" bestFit="1" customWidth="1"/>
    <col min="13208" max="13211" width="13.44140625" style="1" bestFit="1" customWidth="1"/>
    <col min="13212" max="13214" width="12.33203125" style="1" bestFit="1" customWidth="1"/>
    <col min="13215" max="13215" width="13.44140625" style="1" bestFit="1" customWidth="1"/>
    <col min="13216" max="13218" width="12.33203125" style="1" bestFit="1" customWidth="1"/>
    <col min="13219" max="13221" width="13.5546875" style="1" bestFit="1" customWidth="1"/>
    <col min="13222" max="13223" width="13.44140625" style="1" bestFit="1" customWidth="1"/>
    <col min="13224" max="13224" width="13.5546875" style="1" bestFit="1" customWidth="1"/>
    <col min="13225" max="13226" width="13.44140625" style="1" bestFit="1" customWidth="1"/>
    <col min="13227" max="13228" width="12.33203125" style="1" bestFit="1" customWidth="1"/>
    <col min="13229" max="13229" width="13.44140625" style="1" bestFit="1" customWidth="1"/>
    <col min="13230" max="13233" width="12.33203125" style="1" bestFit="1" customWidth="1"/>
    <col min="13234" max="13234" width="14.33203125" style="1" customWidth="1"/>
    <col min="13235" max="13235" width="13.88671875" style="1" customWidth="1"/>
    <col min="13236" max="13236" width="13.33203125" style="1" customWidth="1"/>
    <col min="13237" max="13239" width="14.5546875" style="1" customWidth="1"/>
    <col min="13240" max="13240" width="17.33203125" style="1" customWidth="1"/>
    <col min="13241" max="13241" width="14.5546875" style="1" customWidth="1"/>
    <col min="13242" max="13242" width="15.5546875" style="1" customWidth="1"/>
    <col min="13243" max="13243" width="13.44140625" style="1" bestFit="1" customWidth="1"/>
    <col min="13244" max="13244" width="12.33203125" style="1" bestFit="1" customWidth="1"/>
    <col min="13245" max="13245" width="12.88671875" style="1" customWidth="1"/>
    <col min="13246" max="13246" width="14" style="1" customWidth="1"/>
    <col min="13247" max="13247" width="13.33203125" style="1" customWidth="1"/>
    <col min="13248" max="13248" width="13.44140625" style="1" customWidth="1"/>
    <col min="13249" max="13249" width="12.44140625" style="1" customWidth="1"/>
    <col min="13250" max="13250" width="12.109375" style="1" customWidth="1"/>
    <col min="13251" max="13251" width="13.33203125" style="1" customWidth="1"/>
    <col min="13252" max="13252" width="12.33203125" style="1" bestFit="1" customWidth="1"/>
    <col min="13253" max="13253" width="13.5546875" style="1" customWidth="1"/>
    <col min="13254" max="13254" width="13.44140625" style="1" bestFit="1" customWidth="1"/>
    <col min="13255" max="13256" width="12.33203125" style="1" bestFit="1" customWidth="1"/>
    <col min="13257" max="13260" width="13.44140625" style="1" bestFit="1" customWidth="1"/>
    <col min="13261" max="13261" width="15.44140625" style="1" customWidth="1"/>
    <col min="13262" max="13262" width="14.6640625" style="1" customWidth="1"/>
    <col min="13263" max="13263" width="15.109375" style="1" customWidth="1"/>
    <col min="13264" max="13264" width="15" style="1" customWidth="1"/>
    <col min="13265" max="13265" width="14.109375" style="1" customWidth="1"/>
    <col min="13266" max="13266" width="15.44140625" style="1" customWidth="1"/>
    <col min="13267" max="13267" width="17.44140625" style="1" customWidth="1"/>
    <col min="13268" max="13268" width="16.33203125" style="1" customWidth="1"/>
    <col min="13269" max="13271" width="15.5546875" style="1" customWidth="1"/>
    <col min="13272" max="13274" width="13.44140625" style="1" bestFit="1" customWidth="1"/>
    <col min="13275" max="13275" width="15.109375" style="1" customWidth="1"/>
    <col min="13276" max="13276" width="14.109375" style="1" customWidth="1"/>
    <col min="13277" max="13277" width="14.33203125" style="1" customWidth="1"/>
    <col min="13278" max="13278" width="14.88671875" style="1" customWidth="1"/>
    <col min="13279" max="13279" width="14.5546875" style="1" customWidth="1"/>
    <col min="13280" max="13280" width="16.44140625" style="1" customWidth="1"/>
    <col min="13281" max="13281" width="16.33203125" style="1" customWidth="1"/>
    <col min="13282" max="13282" width="15.88671875" style="1" customWidth="1"/>
    <col min="13283" max="13283" width="16.33203125" style="1" customWidth="1"/>
    <col min="13284" max="13284" width="17" style="1" customWidth="1"/>
    <col min="13285" max="13285" width="16.33203125" style="1" customWidth="1"/>
    <col min="13286" max="13286" width="15.109375" style="1" customWidth="1"/>
    <col min="13287" max="13287" width="14.88671875" style="1" customWidth="1"/>
    <col min="13288" max="13289" width="13.6640625" style="1" customWidth="1"/>
    <col min="13290" max="13290" width="14.109375" style="1" customWidth="1"/>
    <col min="13291" max="13291" width="15.33203125" style="1" customWidth="1"/>
    <col min="13292" max="13293" width="15.5546875" style="1" customWidth="1"/>
    <col min="13294" max="13294" width="17.5546875" style="1" customWidth="1"/>
    <col min="13295" max="13295" width="17.88671875" style="1" customWidth="1"/>
    <col min="13296" max="13296" width="17.33203125" style="1" customWidth="1"/>
    <col min="13297" max="13299" width="13.44140625" style="1" bestFit="1" customWidth="1"/>
    <col min="13300" max="13300" width="13.44140625" style="1" customWidth="1"/>
    <col min="13301" max="13302" width="13.88671875" style="1" customWidth="1"/>
    <col min="13303" max="13305" width="13.44140625" style="1" bestFit="1" customWidth="1"/>
    <col min="13306" max="13306" width="13" style="1" customWidth="1"/>
    <col min="13307" max="13307" width="13.33203125" style="1" customWidth="1"/>
    <col min="13308" max="13308" width="14.88671875" style="1" customWidth="1"/>
    <col min="13309" max="13311" width="13.44140625" style="1"/>
    <col min="13312" max="13312" width="55" style="1" bestFit="1" customWidth="1"/>
    <col min="13313" max="13317" width="10.88671875" style="1" bestFit="1" customWidth="1"/>
    <col min="13318" max="13336" width="12.33203125" style="1" bestFit="1" customWidth="1"/>
    <col min="13337" max="13338" width="10.88671875" style="1" bestFit="1" customWidth="1"/>
    <col min="13339" max="13339" width="12.33203125" style="1" bestFit="1" customWidth="1"/>
    <col min="13340" max="13340" width="10.88671875" style="1" bestFit="1" customWidth="1"/>
    <col min="13341" max="13341" width="12.33203125" style="1" customWidth="1"/>
    <col min="13342" max="13342" width="12.33203125" style="1" bestFit="1" customWidth="1"/>
    <col min="13343" max="13343" width="10.88671875" style="1" bestFit="1" customWidth="1"/>
    <col min="13344" max="13344" width="12.33203125" style="1" bestFit="1" customWidth="1"/>
    <col min="13345" max="13363" width="10.88671875" style="1" bestFit="1" customWidth="1"/>
    <col min="13364" max="13380" width="12.33203125" style="1" bestFit="1" customWidth="1"/>
    <col min="13381" max="13382" width="10.88671875" style="1" bestFit="1" customWidth="1"/>
    <col min="13383" max="13383" width="12.33203125" style="1" bestFit="1" customWidth="1"/>
    <col min="13384" max="13388" width="10.88671875" style="1" bestFit="1" customWidth="1"/>
    <col min="13389" max="13396" width="12.33203125" style="1" bestFit="1" customWidth="1"/>
    <col min="13397" max="13397" width="10.88671875" style="1" bestFit="1" customWidth="1"/>
    <col min="13398" max="13399" width="12.33203125" style="1" bestFit="1" customWidth="1"/>
    <col min="13400" max="13400" width="10.88671875" style="1" bestFit="1" customWidth="1"/>
    <col min="13401" max="13403" width="12.33203125" style="1" bestFit="1" customWidth="1"/>
    <col min="13404" max="13405" width="10.88671875" style="1" customWidth="1"/>
    <col min="13406" max="13406" width="10.88671875" style="1" bestFit="1" customWidth="1"/>
    <col min="13407" max="13407" width="10.88671875" style="1" customWidth="1"/>
    <col min="13408" max="13415" width="10.88671875" style="1" bestFit="1" customWidth="1"/>
    <col min="13416" max="13416" width="12.33203125" style="1" bestFit="1" customWidth="1"/>
    <col min="13417" max="13417" width="10.88671875" style="1" bestFit="1" customWidth="1"/>
    <col min="13418" max="13433" width="12.33203125" style="1" bestFit="1" customWidth="1"/>
    <col min="13434" max="13434" width="10.88671875" style="1" bestFit="1" customWidth="1"/>
    <col min="13435" max="13437" width="12.33203125" style="1" bestFit="1" customWidth="1"/>
    <col min="13438" max="13438" width="13.44140625" style="1" bestFit="1" customWidth="1"/>
    <col min="13439" max="13440" width="12.33203125" style="1" bestFit="1" customWidth="1"/>
    <col min="13441" max="13442" width="13.44140625" style="1" bestFit="1" customWidth="1"/>
    <col min="13443" max="13458" width="12.33203125" style="1" bestFit="1" customWidth="1"/>
    <col min="13459" max="13459" width="13.44140625" style="1" bestFit="1" customWidth="1"/>
    <col min="13460" max="13460" width="12.33203125" style="1" bestFit="1" customWidth="1"/>
    <col min="13461" max="13461" width="13.44140625" style="1" bestFit="1" customWidth="1"/>
    <col min="13462" max="13463" width="12.33203125" style="1" bestFit="1" customWidth="1"/>
    <col min="13464" max="13467" width="13.44140625" style="1" bestFit="1" customWidth="1"/>
    <col min="13468" max="13470" width="12.33203125" style="1" bestFit="1" customWidth="1"/>
    <col min="13471" max="13471" width="13.44140625" style="1" bestFit="1" customWidth="1"/>
    <col min="13472" max="13474" width="12.33203125" style="1" bestFit="1" customWidth="1"/>
    <col min="13475" max="13477" width="13.5546875" style="1" bestFit="1" customWidth="1"/>
    <col min="13478" max="13479" width="13.44140625" style="1" bestFit="1" customWidth="1"/>
    <col min="13480" max="13480" width="13.5546875" style="1" bestFit="1" customWidth="1"/>
    <col min="13481" max="13482" width="13.44140625" style="1" bestFit="1" customWidth="1"/>
    <col min="13483" max="13484" width="12.33203125" style="1" bestFit="1" customWidth="1"/>
    <col min="13485" max="13485" width="13.44140625" style="1" bestFit="1" customWidth="1"/>
    <col min="13486" max="13489" width="12.33203125" style="1" bestFit="1" customWidth="1"/>
    <col min="13490" max="13490" width="14.33203125" style="1" customWidth="1"/>
    <col min="13491" max="13491" width="13.88671875" style="1" customWidth="1"/>
    <col min="13492" max="13492" width="13.33203125" style="1" customWidth="1"/>
    <col min="13493" max="13495" width="14.5546875" style="1" customWidth="1"/>
    <col min="13496" max="13496" width="17.33203125" style="1" customWidth="1"/>
    <col min="13497" max="13497" width="14.5546875" style="1" customWidth="1"/>
    <col min="13498" max="13498" width="15.5546875" style="1" customWidth="1"/>
    <col min="13499" max="13499" width="13.44140625" style="1" bestFit="1" customWidth="1"/>
    <col min="13500" max="13500" width="12.33203125" style="1" bestFit="1" customWidth="1"/>
    <col min="13501" max="13501" width="12.88671875" style="1" customWidth="1"/>
    <col min="13502" max="13502" width="14" style="1" customWidth="1"/>
    <col min="13503" max="13503" width="13.33203125" style="1" customWidth="1"/>
    <col min="13504" max="13504" width="13.44140625" style="1" customWidth="1"/>
    <col min="13505" max="13505" width="12.44140625" style="1" customWidth="1"/>
    <col min="13506" max="13506" width="12.109375" style="1" customWidth="1"/>
    <col min="13507" max="13507" width="13.33203125" style="1" customWidth="1"/>
    <col min="13508" max="13508" width="12.33203125" style="1" bestFit="1" customWidth="1"/>
    <col min="13509" max="13509" width="13.5546875" style="1" customWidth="1"/>
    <col min="13510" max="13510" width="13.44140625" style="1" bestFit="1" customWidth="1"/>
    <col min="13511" max="13512" width="12.33203125" style="1" bestFit="1" customWidth="1"/>
    <col min="13513" max="13516" width="13.44140625" style="1" bestFit="1" customWidth="1"/>
    <col min="13517" max="13517" width="15.44140625" style="1" customWidth="1"/>
    <col min="13518" max="13518" width="14.6640625" style="1" customWidth="1"/>
    <col min="13519" max="13519" width="15.109375" style="1" customWidth="1"/>
    <col min="13520" max="13520" width="15" style="1" customWidth="1"/>
    <col min="13521" max="13521" width="14.109375" style="1" customWidth="1"/>
    <col min="13522" max="13522" width="15.44140625" style="1" customWidth="1"/>
    <col min="13523" max="13523" width="17.44140625" style="1" customWidth="1"/>
    <col min="13524" max="13524" width="16.33203125" style="1" customWidth="1"/>
    <col min="13525" max="13527" width="15.5546875" style="1" customWidth="1"/>
    <col min="13528" max="13530" width="13.44140625" style="1" bestFit="1" customWidth="1"/>
    <col min="13531" max="13531" width="15.109375" style="1" customWidth="1"/>
    <col min="13532" max="13532" width="14.109375" style="1" customWidth="1"/>
    <col min="13533" max="13533" width="14.33203125" style="1" customWidth="1"/>
    <col min="13534" max="13534" width="14.88671875" style="1" customWidth="1"/>
    <col min="13535" max="13535" width="14.5546875" style="1" customWidth="1"/>
    <col min="13536" max="13536" width="16.44140625" style="1" customWidth="1"/>
    <col min="13537" max="13537" width="16.33203125" style="1" customWidth="1"/>
    <col min="13538" max="13538" width="15.88671875" style="1" customWidth="1"/>
    <col min="13539" max="13539" width="16.33203125" style="1" customWidth="1"/>
    <col min="13540" max="13540" width="17" style="1" customWidth="1"/>
    <col min="13541" max="13541" width="16.33203125" style="1" customWidth="1"/>
    <col min="13542" max="13542" width="15.109375" style="1" customWidth="1"/>
    <col min="13543" max="13543" width="14.88671875" style="1" customWidth="1"/>
    <col min="13544" max="13545" width="13.6640625" style="1" customWidth="1"/>
    <col min="13546" max="13546" width="14.109375" style="1" customWidth="1"/>
    <col min="13547" max="13547" width="15.33203125" style="1" customWidth="1"/>
    <col min="13548" max="13549" width="15.5546875" style="1" customWidth="1"/>
    <col min="13550" max="13550" width="17.5546875" style="1" customWidth="1"/>
    <col min="13551" max="13551" width="17.88671875" style="1" customWidth="1"/>
    <col min="13552" max="13552" width="17.33203125" style="1" customWidth="1"/>
    <col min="13553" max="13555" width="13.44140625" style="1" bestFit="1" customWidth="1"/>
    <col min="13556" max="13556" width="13.44140625" style="1" customWidth="1"/>
    <col min="13557" max="13558" width="13.88671875" style="1" customWidth="1"/>
    <col min="13559" max="13561" width="13.44140625" style="1" bestFit="1" customWidth="1"/>
    <col min="13562" max="13562" width="13" style="1" customWidth="1"/>
    <col min="13563" max="13563" width="13.33203125" style="1" customWidth="1"/>
    <col min="13564" max="13564" width="14.88671875" style="1" customWidth="1"/>
    <col min="13565" max="13567" width="13.44140625" style="1"/>
    <col min="13568" max="13568" width="55" style="1" bestFit="1" customWidth="1"/>
    <col min="13569" max="13573" width="10.88671875" style="1" bestFit="1" customWidth="1"/>
    <col min="13574" max="13592" width="12.33203125" style="1" bestFit="1" customWidth="1"/>
    <col min="13593" max="13594" width="10.88671875" style="1" bestFit="1" customWidth="1"/>
    <col min="13595" max="13595" width="12.33203125" style="1" bestFit="1" customWidth="1"/>
    <col min="13596" max="13596" width="10.88671875" style="1" bestFit="1" customWidth="1"/>
    <col min="13597" max="13597" width="12.33203125" style="1" customWidth="1"/>
    <col min="13598" max="13598" width="12.33203125" style="1" bestFit="1" customWidth="1"/>
    <col min="13599" max="13599" width="10.88671875" style="1" bestFit="1" customWidth="1"/>
    <col min="13600" max="13600" width="12.33203125" style="1" bestFit="1" customWidth="1"/>
    <col min="13601" max="13619" width="10.88671875" style="1" bestFit="1" customWidth="1"/>
    <col min="13620" max="13636" width="12.33203125" style="1" bestFit="1" customWidth="1"/>
    <col min="13637" max="13638" width="10.88671875" style="1" bestFit="1" customWidth="1"/>
    <col min="13639" max="13639" width="12.33203125" style="1" bestFit="1" customWidth="1"/>
    <col min="13640" max="13644" width="10.88671875" style="1" bestFit="1" customWidth="1"/>
    <col min="13645" max="13652" width="12.33203125" style="1" bestFit="1" customWidth="1"/>
    <col min="13653" max="13653" width="10.88671875" style="1" bestFit="1" customWidth="1"/>
    <col min="13654" max="13655" width="12.33203125" style="1" bestFit="1" customWidth="1"/>
    <col min="13656" max="13656" width="10.88671875" style="1" bestFit="1" customWidth="1"/>
    <col min="13657" max="13659" width="12.33203125" style="1" bestFit="1" customWidth="1"/>
    <col min="13660" max="13661" width="10.88671875" style="1" customWidth="1"/>
    <col min="13662" max="13662" width="10.88671875" style="1" bestFit="1" customWidth="1"/>
    <col min="13663" max="13663" width="10.88671875" style="1" customWidth="1"/>
    <col min="13664" max="13671" width="10.88671875" style="1" bestFit="1" customWidth="1"/>
    <col min="13672" max="13672" width="12.33203125" style="1" bestFit="1" customWidth="1"/>
    <col min="13673" max="13673" width="10.88671875" style="1" bestFit="1" customWidth="1"/>
    <col min="13674" max="13689" width="12.33203125" style="1" bestFit="1" customWidth="1"/>
    <col min="13690" max="13690" width="10.88671875" style="1" bestFit="1" customWidth="1"/>
    <col min="13691" max="13693" width="12.33203125" style="1" bestFit="1" customWidth="1"/>
    <col min="13694" max="13694" width="13.44140625" style="1" bestFit="1" customWidth="1"/>
    <col min="13695" max="13696" width="12.33203125" style="1" bestFit="1" customWidth="1"/>
    <col min="13697" max="13698" width="13.44140625" style="1" bestFit="1" customWidth="1"/>
    <col min="13699" max="13714" width="12.33203125" style="1" bestFit="1" customWidth="1"/>
    <col min="13715" max="13715" width="13.44140625" style="1" bestFit="1" customWidth="1"/>
    <col min="13716" max="13716" width="12.33203125" style="1" bestFit="1" customWidth="1"/>
    <col min="13717" max="13717" width="13.44140625" style="1" bestFit="1" customWidth="1"/>
    <col min="13718" max="13719" width="12.33203125" style="1" bestFit="1" customWidth="1"/>
    <col min="13720" max="13723" width="13.44140625" style="1" bestFit="1" customWidth="1"/>
    <col min="13724" max="13726" width="12.33203125" style="1" bestFit="1" customWidth="1"/>
    <col min="13727" max="13727" width="13.44140625" style="1" bestFit="1" customWidth="1"/>
    <col min="13728" max="13730" width="12.33203125" style="1" bestFit="1" customWidth="1"/>
    <col min="13731" max="13733" width="13.5546875" style="1" bestFit="1" customWidth="1"/>
    <col min="13734" max="13735" width="13.44140625" style="1" bestFit="1" customWidth="1"/>
    <col min="13736" max="13736" width="13.5546875" style="1" bestFit="1" customWidth="1"/>
    <col min="13737" max="13738" width="13.44140625" style="1" bestFit="1" customWidth="1"/>
    <col min="13739" max="13740" width="12.33203125" style="1" bestFit="1" customWidth="1"/>
    <col min="13741" max="13741" width="13.44140625" style="1" bestFit="1" customWidth="1"/>
    <col min="13742" max="13745" width="12.33203125" style="1" bestFit="1" customWidth="1"/>
    <col min="13746" max="13746" width="14.33203125" style="1" customWidth="1"/>
    <col min="13747" max="13747" width="13.88671875" style="1" customWidth="1"/>
    <col min="13748" max="13748" width="13.33203125" style="1" customWidth="1"/>
    <col min="13749" max="13751" width="14.5546875" style="1" customWidth="1"/>
    <col min="13752" max="13752" width="17.33203125" style="1" customWidth="1"/>
    <col min="13753" max="13753" width="14.5546875" style="1" customWidth="1"/>
    <col min="13754" max="13754" width="15.5546875" style="1" customWidth="1"/>
    <col min="13755" max="13755" width="13.44140625" style="1" bestFit="1" customWidth="1"/>
    <col min="13756" max="13756" width="12.33203125" style="1" bestFit="1" customWidth="1"/>
    <col min="13757" max="13757" width="12.88671875" style="1" customWidth="1"/>
    <col min="13758" max="13758" width="14" style="1" customWidth="1"/>
    <col min="13759" max="13759" width="13.33203125" style="1" customWidth="1"/>
    <col min="13760" max="13760" width="13.44140625" style="1" customWidth="1"/>
    <col min="13761" max="13761" width="12.44140625" style="1" customWidth="1"/>
    <col min="13762" max="13762" width="12.109375" style="1" customWidth="1"/>
    <col min="13763" max="13763" width="13.33203125" style="1" customWidth="1"/>
    <col min="13764" max="13764" width="12.33203125" style="1" bestFit="1" customWidth="1"/>
    <col min="13765" max="13765" width="13.5546875" style="1" customWidth="1"/>
    <col min="13766" max="13766" width="13.44140625" style="1" bestFit="1" customWidth="1"/>
    <col min="13767" max="13768" width="12.33203125" style="1" bestFit="1" customWidth="1"/>
    <col min="13769" max="13772" width="13.44140625" style="1" bestFit="1" customWidth="1"/>
    <col min="13773" max="13773" width="15.44140625" style="1" customWidth="1"/>
    <col min="13774" max="13774" width="14.6640625" style="1" customWidth="1"/>
    <col min="13775" max="13775" width="15.109375" style="1" customWidth="1"/>
    <col min="13776" max="13776" width="15" style="1" customWidth="1"/>
    <col min="13777" max="13777" width="14.109375" style="1" customWidth="1"/>
    <col min="13778" max="13778" width="15.44140625" style="1" customWidth="1"/>
    <col min="13779" max="13779" width="17.44140625" style="1" customWidth="1"/>
    <col min="13780" max="13780" width="16.33203125" style="1" customWidth="1"/>
    <col min="13781" max="13783" width="15.5546875" style="1" customWidth="1"/>
    <col min="13784" max="13786" width="13.44140625" style="1" bestFit="1" customWidth="1"/>
    <col min="13787" max="13787" width="15.109375" style="1" customWidth="1"/>
    <col min="13788" max="13788" width="14.109375" style="1" customWidth="1"/>
    <col min="13789" max="13789" width="14.33203125" style="1" customWidth="1"/>
    <col min="13790" max="13790" width="14.88671875" style="1" customWidth="1"/>
    <col min="13791" max="13791" width="14.5546875" style="1" customWidth="1"/>
    <col min="13792" max="13792" width="16.44140625" style="1" customWidth="1"/>
    <col min="13793" max="13793" width="16.33203125" style="1" customWidth="1"/>
    <col min="13794" max="13794" width="15.88671875" style="1" customWidth="1"/>
    <col min="13795" max="13795" width="16.33203125" style="1" customWidth="1"/>
    <col min="13796" max="13796" width="17" style="1" customWidth="1"/>
    <col min="13797" max="13797" width="16.33203125" style="1" customWidth="1"/>
    <col min="13798" max="13798" width="15.109375" style="1" customWidth="1"/>
    <col min="13799" max="13799" width="14.88671875" style="1" customWidth="1"/>
    <col min="13800" max="13801" width="13.6640625" style="1" customWidth="1"/>
    <col min="13802" max="13802" width="14.109375" style="1" customWidth="1"/>
    <col min="13803" max="13803" width="15.33203125" style="1" customWidth="1"/>
    <col min="13804" max="13805" width="15.5546875" style="1" customWidth="1"/>
    <col min="13806" max="13806" width="17.5546875" style="1" customWidth="1"/>
    <col min="13807" max="13807" width="17.88671875" style="1" customWidth="1"/>
    <col min="13808" max="13808" width="17.33203125" style="1" customWidth="1"/>
    <col min="13809" max="13811" width="13.44140625" style="1" bestFit="1" customWidth="1"/>
    <col min="13812" max="13812" width="13.44140625" style="1" customWidth="1"/>
    <col min="13813" max="13814" width="13.88671875" style="1" customWidth="1"/>
    <col min="13815" max="13817" width="13.44140625" style="1" bestFit="1" customWidth="1"/>
    <col min="13818" max="13818" width="13" style="1" customWidth="1"/>
    <col min="13819" max="13819" width="13.33203125" style="1" customWidth="1"/>
    <col min="13820" max="13820" width="14.88671875" style="1" customWidth="1"/>
    <col min="13821" max="13823" width="13.44140625" style="1"/>
    <col min="13824" max="13824" width="55" style="1" bestFit="1" customWidth="1"/>
    <col min="13825" max="13829" width="10.88671875" style="1" bestFit="1" customWidth="1"/>
    <col min="13830" max="13848" width="12.33203125" style="1" bestFit="1" customWidth="1"/>
    <col min="13849" max="13850" width="10.88671875" style="1" bestFit="1" customWidth="1"/>
    <col min="13851" max="13851" width="12.33203125" style="1" bestFit="1" customWidth="1"/>
    <col min="13852" max="13852" width="10.88671875" style="1" bestFit="1" customWidth="1"/>
    <col min="13853" max="13853" width="12.33203125" style="1" customWidth="1"/>
    <col min="13854" max="13854" width="12.33203125" style="1" bestFit="1" customWidth="1"/>
    <col min="13855" max="13855" width="10.88671875" style="1" bestFit="1" customWidth="1"/>
    <col min="13856" max="13856" width="12.33203125" style="1" bestFit="1" customWidth="1"/>
    <col min="13857" max="13875" width="10.88671875" style="1" bestFit="1" customWidth="1"/>
    <col min="13876" max="13892" width="12.33203125" style="1" bestFit="1" customWidth="1"/>
    <col min="13893" max="13894" width="10.88671875" style="1" bestFit="1" customWidth="1"/>
    <col min="13895" max="13895" width="12.33203125" style="1" bestFit="1" customWidth="1"/>
    <col min="13896" max="13900" width="10.88671875" style="1" bestFit="1" customWidth="1"/>
    <col min="13901" max="13908" width="12.33203125" style="1" bestFit="1" customWidth="1"/>
    <col min="13909" max="13909" width="10.88671875" style="1" bestFit="1" customWidth="1"/>
    <col min="13910" max="13911" width="12.33203125" style="1" bestFit="1" customWidth="1"/>
    <col min="13912" max="13912" width="10.88671875" style="1" bestFit="1" customWidth="1"/>
    <col min="13913" max="13915" width="12.33203125" style="1" bestFit="1" customWidth="1"/>
    <col min="13916" max="13917" width="10.88671875" style="1" customWidth="1"/>
    <col min="13918" max="13918" width="10.88671875" style="1" bestFit="1" customWidth="1"/>
    <col min="13919" max="13919" width="10.88671875" style="1" customWidth="1"/>
    <col min="13920" max="13927" width="10.88671875" style="1" bestFit="1" customWidth="1"/>
    <col min="13928" max="13928" width="12.33203125" style="1" bestFit="1" customWidth="1"/>
    <col min="13929" max="13929" width="10.88671875" style="1" bestFit="1" customWidth="1"/>
    <col min="13930" max="13945" width="12.33203125" style="1" bestFit="1" customWidth="1"/>
    <col min="13946" max="13946" width="10.88671875" style="1" bestFit="1" customWidth="1"/>
    <col min="13947" max="13949" width="12.33203125" style="1" bestFit="1" customWidth="1"/>
    <col min="13950" max="13950" width="13.44140625" style="1" bestFit="1" customWidth="1"/>
    <col min="13951" max="13952" width="12.33203125" style="1" bestFit="1" customWidth="1"/>
    <col min="13953" max="13954" width="13.44140625" style="1" bestFit="1" customWidth="1"/>
    <col min="13955" max="13970" width="12.33203125" style="1" bestFit="1" customWidth="1"/>
    <col min="13971" max="13971" width="13.44140625" style="1" bestFit="1" customWidth="1"/>
    <col min="13972" max="13972" width="12.33203125" style="1" bestFit="1" customWidth="1"/>
    <col min="13973" max="13973" width="13.44140625" style="1" bestFit="1" customWidth="1"/>
    <col min="13974" max="13975" width="12.33203125" style="1" bestFit="1" customWidth="1"/>
    <col min="13976" max="13979" width="13.44140625" style="1" bestFit="1" customWidth="1"/>
    <col min="13980" max="13982" width="12.33203125" style="1" bestFit="1" customWidth="1"/>
    <col min="13983" max="13983" width="13.44140625" style="1" bestFit="1" customWidth="1"/>
    <col min="13984" max="13986" width="12.33203125" style="1" bestFit="1" customWidth="1"/>
    <col min="13987" max="13989" width="13.5546875" style="1" bestFit="1" customWidth="1"/>
    <col min="13990" max="13991" width="13.44140625" style="1" bestFit="1" customWidth="1"/>
    <col min="13992" max="13992" width="13.5546875" style="1" bestFit="1" customWidth="1"/>
    <col min="13993" max="13994" width="13.44140625" style="1" bestFit="1" customWidth="1"/>
    <col min="13995" max="13996" width="12.33203125" style="1" bestFit="1" customWidth="1"/>
    <col min="13997" max="13997" width="13.44140625" style="1" bestFit="1" customWidth="1"/>
    <col min="13998" max="14001" width="12.33203125" style="1" bestFit="1" customWidth="1"/>
    <col min="14002" max="14002" width="14.33203125" style="1" customWidth="1"/>
    <col min="14003" max="14003" width="13.88671875" style="1" customWidth="1"/>
    <col min="14004" max="14004" width="13.33203125" style="1" customWidth="1"/>
    <col min="14005" max="14007" width="14.5546875" style="1" customWidth="1"/>
    <col min="14008" max="14008" width="17.33203125" style="1" customWidth="1"/>
    <col min="14009" max="14009" width="14.5546875" style="1" customWidth="1"/>
    <col min="14010" max="14010" width="15.5546875" style="1" customWidth="1"/>
    <col min="14011" max="14011" width="13.44140625" style="1" bestFit="1" customWidth="1"/>
    <col min="14012" max="14012" width="12.33203125" style="1" bestFit="1" customWidth="1"/>
    <col min="14013" max="14013" width="12.88671875" style="1" customWidth="1"/>
    <col min="14014" max="14014" width="14" style="1" customWidth="1"/>
    <col min="14015" max="14015" width="13.33203125" style="1" customWidth="1"/>
    <col min="14016" max="14016" width="13.44140625" style="1" customWidth="1"/>
    <col min="14017" max="14017" width="12.44140625" style="1" customWidth="1"/>
    <col min="14018" max="14018" width="12.109375" style="1" customWidth="1"/>
    <col min="14019" max="14019" width="13.33203125" style="1" customWidth="1"/>
    <col min="14020" max="14020" width="12.33203125" style="1" bestFit="1" customWidth="1"/>
    <col min="14021" max="14021" width="13.5546875" style="1" customWidth="1"/>
    <col min="14022" max="14022" width="13.44140625" style="1" bestFit="1" customWidth="1"/>
    <col min="14023" max="14024" width="12.33203125" style="1" bestFit="1" customWidth="1"/>
    <col min="14025" max="14028" width="13.44140625" style="1" bestFit="1" customWidth="1"/>
    <col min="14029" max="14029" width="15.44140625" style="1" customWidth="1"/>
    <col min="14030" max="14030" width="14.6640625" style="1" customWidth="1"/>
    <col min="14031" max="14031" width="15.109375" style="1" customWidth="1"/>
    <col min="14032" max="14032" width="15" style="1" customWidth="1"/>
    <col min="14033" max="14033" width="14.109375" style="1" customWidth="1"/>
    <col min="14034" max="14034" width="15.44140625" style="1" customWidth="1"/>
    <col min="14035" max="14035" width="17.44140625" style="1" customWidth="1"/>
    <col min="14036" max="14036" width="16.33203125" style="1" customWidth="1"/>
    <col min="14037" max="14039" width="15.5546875" style="1" customWidth="1"/>
    <col min="14040" max="14042" width="13.44140625" style="1" bestFit="1" customWidth="1"/>
    <col min="14043" max="14043" width="15.109375" style="1" customWidth="1"/>
    <col min="14044" max="14044" width="14.109375" style="1" customWidth="1"/>
    <col min="14045" max="14045" width="14.33203125" style="1" customWidth="1"/>
    <col min="14046" max="14046" width="14.88671875" style="1" customWidth="1"/>
    <col min="14047" max="14047" width="14.5546875" style="1" customWidth="1"/>
    <col min="14048" max="14048" width="16.44140625" style="1" customWidth="1"/>
    <col min="14049" max="14049" width="16.33203125" style="1" customWidth="1"/>
    <col min="14050" max="14050" width="15.88671875" style="1" customWidth="1"/>
    <col min="14051" max="14051" width="16.33203125" style="1" customWidth="1"/>
    <col min="14052" max="14052" width="17" style="1" customWidth="1"/>
    <col min="14053" max="14053" width="16.33203125" style="1" customWidth="1"/>
    <col min="14054" max="14054" width="15.109375" style="1" customWidth="1"/>
    <col min="14055" max="14055" width="14.88671875" style="1" customWidth="1"/>
    <col min="14056" max="14057" width="13.6640625" style="1" customWidth="1"/>
    <col min="14058" max="14058" width="14.109375" style="1" customWidth="1"/>
    <col min="14059" max="14059" width="15.33203125" style="1" customWidth="1"/>
    <col min="14060" max="14061" width="15.5546875" style="1" customWidth="1"/>
    <col min="14062" max="14062" width="17.5546875" style="1" customWidth="1"/>
    <col min="14063" max="14063" width="17.88671875" style="1" customWidth="1"/>
    <col min="14064" max="14064" width="17.33203125" style="1" customWidth="1"/>
    <col min="14065" max="14067" width="13.44140625" style="1" bestFit="1" customWidth="1"/>
    <col min="14068" max="14068" width="13.44140625" style="1" customWidth="1"/>
    <col min="14069" max="14070" width="13.88671875" style="1" customWidth="1"/>
    <col min="14071" max="14073" width="13.44140625" style="1" bestFit="1" customWidth="1"/>
    <col min="14074" max="14074" width="13" style="1" customWidth="1"/>
    <col min="14075" max="14075" width="13.33203125" style="1" customWidth="1"/>
    <col min="14076" max="14076" width="14.88671875" style="1" customWidth="1"/>
    <col min="14077" max="14079" width="13.44140625" style="1"/>
    <col min="14080" max="14080" width="55" style="1" bestFit="1" customWidth="1"/>
    <col min="14081" max="14085" width="10.88671875" style="1" bestFit="1" customWidth="1"/>
    <col min="14086" max="14104" width="12.33203125" style="1" bestFit="1" customWidth="1"/>
    <col min="14105" max="14106" width="10.88671875" style="1" bestFit="1" customWidth="1"/>
    <col min="14107" max="14107" width="12.33203125" style="1" bestFit="1" customWidth="1"/>
    <col min="14108" max="14108" width="10.88671875" style="1" bestFit="1" customWidth="1"/>
    <col min="14109" max="14109" width="12.33203125" style="1" customWidth="1"/>
    <col min="14110" max="14110" width="12.33203125" style="1" bestFit="1" customWidth="1"/>
    <col min="14111" max="14111" width="10.88671875" style="1" bestFit="1" customWidth="1"/>
    <col min="14112" max="14112" width="12.33203125" style="1" bestFit="1" customWidth="1"/>
    <col min="14113" max="14131" width="10.88671875" style="1" bestFit="1" customWidth="1"/>
    <col min="14132" max="14148" width="12.33203125" style="1" bestFit="1" customWidth="1"/>
    <col min="14149" max="14150" width="10.88671875" style="1" bestFit="1" customWidth="1"/>
    <col min="14151" max="14151" width="12.33203125" style="1" bestFit="1" customWidth="1"/>
    <col min="14152" max="14156" width="10.88671875" style="1" bestFit="1" customWidth="1"/>
    <col min="14157" max="14164" width="12.33203125" style="1" bestFit="1" customWidth="1"/>
    <col min="14165" max="14165" width="10.88671875" style="1" bestFit="1" customWidth="1"/>
    <col min="14166" max="14167" width="12.33203125" style="1" bestFit="1" customWidth="1"/>
    <col min="14168" max="14168" width="10.88671875" style="1" bestFit="1" customWidth="1"/>
    <col min="14169" max="14171" width="12.33203125" style="1" bestFit="1" customWidth="1"/>
    <col min="14172" max="14173" width="10.88671875" style="1" customWidth="1"/>
    <col min="14174" max="14174" width="10.88671875" style="1" bestFit="1" customWidth="1"/>
    <col min="14175" max="14175" width="10.88671875" style="1" customWidth="1"/>
    <col min="14176" max="14183" width="10.88671875" style="1" bestFit="1" customWidth="1"/>
    <col min="14184" max="14184" width="12.33203125" style="1" bestFit="1" customWidth="1"/>
    <col min="14185" max="14185" width="10.88671875" style="1" bestFit="1" customWidth="1"/>
    <col min="14186" max="14201" width="12.33203125" style="1" bestFit="1" customWidth="1"/>
    <col min="14202" max="14202" width="10.88671875" style="1" bestFit="1" customWidth="1"/>
    <col min="14203" max="14205" width="12.33203125" style="1" bestFit="1" customWidth="1"/>
    <col min="14206" max="14206" width="13.44140625" style="1" bestFit="1" customWidth="1"/>
    <col min="14207" max="14208" width="12.33203125" style="1" bestFit="1" customWidth="1"/>
    <col min="14209" max="14210" width="13.44140625" style="1" bestFit="1" customWidth="1"/>
    <col min="14211" max="14226" width="12.33203125" style="1" bestFit="1" customWidth="1"/>
    <col min="14227" max="14227" width="13.44140625" style="1" bestFit="1" customWidth="1"/>
    <col min="14228" max="14228" width="12.33203125" style="1" bestFit="1" customWidth="1"/>
    <col min="14229" max="14229" width="13.44140625" style="1" bestFit="1" customWidth="1"/>
    <col min="14230" max="14231" width="12.33203125" style="1" bestFit="1" customWidth="1"/>
    <col min="14232" max="14235" width="13.44140625" style="1" bestFit="1" customWidth="1"/>
    <col min="14236" max="14238" width="12.33203125" style="1" bestFit="1" customWidth="1"/>
    <col min="14239" max="14239" width="13.44140625" style="1" bestFit="1" customWidth="1"/>
    <col min="14240" max="14242" width="12.33203125" style="1" bestFit="1" customWidth="1"/>
    <col min="14243" max="14245" width="13.5546875" style="1" bestFit="1" customWidth="1"/>
    <col min="14246" max="14247" width="13.44140625" style="1" bestFit="1" customWidth="1"/>
    <col min="14248" max="14248" width="13.5546875" style="1" bestFit="1" customWidth="1"/>
    <col min="14249" max="14250" width="13.44140625" style="1" bestFit="1" customWidth="1"/>
    <col min="14251" max="14252" width="12.33203125" style="1" bestFit="1" customWidth="1"/>
    <col min="14253" max="14253" width="13.44140625" style="1" bestFit="1" customWidth="1"/>
    <col min="14254" max="14257" width="12.33203125" style="1" bestFit="1" customWidth="1"/>
    <col min="14258" max="14258" width="14.33203125" style="1" customWidth="1"/>
    <col min="14259" max="14259" width="13.88671875" style="1" customWidth="1"/>
    <col min="14260" max="14260" width="13.33203125" style="1" customWidth="1"/>
    <col min="14261" max="14263" width="14.5546875" style="1" customWidth="1"/>
    <col min="14264" max="14264" width="17.33203125" style="1" customWidth="1"/>
    <col min="14265" max="14265" width="14.5546875" style="1" customWidth="1"/>
    <col min="14266" max="14266" width="15.5546875" style="1" customWidth="1"/>
    <col min="14267" max="14267" width="13.44140625" style="1" bestFit="1" customWidth="1"/>
    <col min="14268" max="14268" width="12.33203125" style="1" bestFit="1" customWidth="1"/>
    <col min="14269" max="14269" width="12.88671875" style="1" customWidth="1"/>
    <col min="14270" max="14270" width="14" style="1" customWidth="1"/>
    <col min="14271" max="14271" width="13.33203125" style="1" customWidth="1"/>
    <col min="14272" max="14272" width="13.44140625" style="1" customWidth="1"/>
    <col min="14273" max="14273" width="12.44140625" style="1" customWidth="1"/>
    <col min="14274" max="14274" width="12.109375" style="1" customWidth="1"/>
    <col min="14275" max="14275" width="13.33203125" style="1" customWidth="1"/>
    <col min="14276" max="14276" width="12.33203125" style="1" bestFit="1" customWidth="1"/>
    <col min="14277" max="14277" width="13.5546875" style="1" customWidth="1"/>
    <col min="14278" max="14278" width="13.44140625" style="1" bestFit="1" customWidth="1"/>
    <col min="14279" max="14280" width="12.33203125" style="1" bestFit="1" customWidth="1"/>
    <col min="14281" max="14284" width="13.44140625" style="1" bestFit="1" customWidth="1"/>
    <col min="14285" max="14285" width="15.44140625" style="1" customWidth="1"/>
    <col min="14286" max="14286" width="14.6640625" style="1" customWidth="1"/>
    <col min="14287" max="14287" width="15.109375" style="1" customWidth="1"/>
    <col min="14288" max="14288" width="15" style="1" customWidth="1"/>
    <col min="14289" max="14289" width="14.109375" style="1" customWidth="1"/>
    <col min="14290" max="14290" width="15.44140625" style="1" customWidth="1"/>
    <col min="14291" max="14291" width="17.44140625" style="1" customWidth="1"/>
    <col min="14292" max="14292" width="16.33203125" style="1" customWidth="1"/>
    <col min="14293" max="14295" width="15.5546875" style="1" customWidth="1"/>
    <col min="14296" max="14298" width="13.44140625" style="1" bestFit="1" customWidth="1"/>
    <col min="14299" max="14299" width="15.109375" style="1" customWidth="1"/>
    <col min="14300" max="14300" width="14.109375" style="1" customWidth="1"/>
    <col min="14301" max="14301" width="14.33203125" style="1" customWidth="1"/>
    <col min="14302" max="14302" width="14.88671875" style="1" customWidth="1"/>
    <col min="14303" max="14303" width="14.5546875" style="1" customWidth="1"/>
    <col min="14304" max="14304" width="16.44140625" style="1" customWidth="1"/>
    <col min="14305" max="14305" width="16.33203125" style="1" customWidth="1"/>
    <col min="14306" max="14306" width="15.88671875" style="1" customWidth="1"/>
    <col min="14307" max="14307" width="16.33203125" style="1" customWidth="1"/>
    <col min="14308" max="14308" width="17" style="1" customWidth="1"/>
    <col min="14309" max="14309" width="16.33203125" style="1" customWidth="1"/>
    <col min="14310" max="14310" width="15.109375" style="1" customWidth="1"/>
    <col min="14311" max="14311" width="14.88671875" style="1" customWidth="1"/>
    <col min="14312" max="14313" width="13.6640625" style="1" customWidth="1"/>
    <col min="14314" max="14314" width="14.109375" style="1" customWidth="1"/>
    <col min="14315" max="14315" width="15.33203125" style="1" customWidth="1"/>
    <col min="14316" max="14317" width="15.5546875" style="1" customWidth="1"/>
    <col min="14318" max="14318" width="17.5546875" style="1" customWidth="1"/>
    <col min="14319" max="14319" width="17.88671875" style="1" customWidth="1"/>
    <col min="14320" max="14320" width="17.33203125" style="1" customWidth="1"/>
    <col min="14321" max="14323" width="13.44140625" style="1" bestFit="1" customWidth="1"/>
    <col min="14324" max="14324" width="13.44140625" style="1" customWidth="1"/>
    <col min="14325" max="14326" width="13.88671875" style="1" customWidth="1"/>
    <col min="14327" max="14329" width="13.44140625" style="1" bestFit="1" customWidth="1"/>
    <col min="14330" max="14330" width="13" style="1" customWidth="1"/>
    <col min="14331" max="14331" width="13.33203125" style="1" customWidth="1"/>
    <col min="14332" max="14332" width="14.88671875" style="1" customWidth="1"/>
    <col min="14333" max="14335" width="13.44140625" style="1"/>
    <col min="14336" max="14336" width="55" style="1" bestFit="1" customWidth="1"/>
    <col min="14337" max="14341" width="10.88671875" style="1" bestFit="1" customWidth="1"/>
    <col min="14342" max="14360" width="12.33203125" style="1" bestFit="1" customWidth="1"/>
    <col min="14361" max="14362" width="10.88671875" style="1" bestFit="1" customWidth="1"/>
    <col min="14363" max="14363" width="12.33203125" style="1" bestFit="1" customWidth="1"/>
    <col min="14364" max="14364" width="10.88671875" style="1" bestFit="1" customWidth="1"/>
    <col min="14365" max="14365" width="12.33203125" style="1" customWidth="1"/>
    <col min="14366" max="14366" width="12.33203125" style="1" bestFit="1" customWidth="1"/>
    <col min="14367" max="14367" width="10.88671875" style="1" bestFit="1" customWidth="1"/>
    <col min="14368" max="14368" width="12.33203125" style="1" bestFit="1" customWidth="1"/>
    <col min="14369" max="14387" width="10.88671875" style="1" bestFit="1" customWidth="1"/>
    <col min="14388" max="14404" width="12.33203125" style="1" bestFit="1" customWidth="1"/>
    <col min="14405" max="14406" width="10.88671875" style="1" bestFit="1" customWidth="1"/>
    <col min="14407" max="14407" width="12.33203125" style="1" bestFit="1" customWidth="1"/>
    <col min="14408" max="14412" width="10.88671875" style="1" bestFit="1" customWidth="1"/>
    <col min="14413" max="14420" width="12.33203125" style="1" bestFit="1" customWidth="1"/>
    <col min="14421" max="14421" width="10.88671875" style="1" bestFit="1" customWidth="1"/>
    <col min="14422" max="14423" width="12.33203125" style="1" bestFit="1" customWidth="1"/>
    <col min="14424" max="14424" width="10.88671875" style="1" bestFit="1" customWidth="1"/>
    <col min="14425" max="14427" width="12.33203125" style="1" bestFit="1" customWidth="1"/>
    <col min="14428" max="14429" width="10.88671875" style="1" customWidth="1"/>
    <col min="14430" max="14430" width="10.88671875" style="1" bestFit="1" customWidth="1"/>
    <col min="14431" max="14431" width="10.88671875" style="1" customWidth="1"/>
    <col min="14432" max="14439" width="10.88671875" style="1" bestFit="1" customWidth="1"/>
    <col min="14440" max="14440" width="12.33203125" style="1" bestFit="1" customWidth="1"/>
    <col min="14441" max="14441" width="10.88671875" style="1" bestFit="1" customWidth="1"/>
    <col min="14442" max="14457" width="12.33203125" style="1" bestFit="1" customWidth="1"/>
    <col min="14458" max="14458" width="10.88671875" style="1" bestFit="1" customWidth="1"/>
    <col min="14459" max="14461" width="12.33203125" style="1" bestFit="1" customWidth="1"/>
    <col min="14462" max="14462" width="13.44140625" style="1" bestFit="1" customWidth="1"/>
    <col min="14463" max="14464" width="12.33203125" style="1" bestFit="1" customWidth="1"/>
    <col min="14465" max="14466" width="13.44140625" style="1" bestFit="1" customWidth="1"/>
    <col min="14467" max="14482" width="12.33203125" style="1" bestFit="1" customWidth="1"/>
    <col min="14483" max="14483" width="13.44140625" style="1" bestFit="1" customWidth="1"/>
    <col min="14484" max="14484" width="12.33203125" style="1" bestFit="1" customWidth="1"/>
    <col min="14485" max="14485" width="13.44140625" style="1" bestFit="1" customWidth="1"/>
    <col min="14486" max="14487" width="12.33203125" style="1" bestFit="1" customWidth="1"/>
    <col min="14488" max="14491" width="13.44140625" style="1" bestFit="1" customWidth="1"/>
    <col min="14492" max="14494" width="12.33203125" style="1" bestFit="1" customWidth="1"/>
    <col min="14495" max="14495" width="13.44140625" style="1" bestFit="1" customWidth="1"/>
    <col min="14496" max="14498" width="12.33203125" style="1" bestFit="1" customWidth="1"/>
    <col min="14499" max="14501" width="13.5546875" style="1" bestFit="1" customWidth="1"/>
    <col min="14502" max="14503" width="13.44140625" style="1" bestFit="1" customWidth="1"/>
    <col min="14504" max="14504" width="13.5546875" style="1" bestFit="1" customWidth="1"/>
    <col min="14505" max="14506" width="13.44140625" style="1" bestFit="1" customWidth="1"/>
    <col min="14507" max="14508" width="12.33203125" style="1" bestFit="1" customWidth="1"/>
    <col min="14509" max="14509" width="13.44140625" style="1" bestFit="1" customWidth="1"/>
    <col min="14510" max="14513" width="12.33203125" style="1" bestFit="1" customWidth="1"/>
    <col min="14514" max="14514" width="14.33203125" style="1" customWidth="1"/>
    <col min="14515" max="14515" width="13.88671875" style="1" customWidth="1"/>
    <col min="14516" max="14516" width="13.33203125" style="1" customWidth="1"/>
    <col min="14517" max="14519" width="14.5546875" style="1" customWidth="1"/>
    <col min="14520" max="14520" width="17.33203125" style="1" customWidth="1"/>
    <col min="14521" max="14521" width="14.5546875" style="1" customWidth="1"/>
    <col min="14522" max="14522" width="15.5546875" style="1" customWidth="1"/>
    <col min="14523" max="14523" width="13.44140625" style="1" bestFit="1" customWidth="1"/>
    <col min="14524" max="14524" width="12.33203125" style="1" bestFit="1" customWidth="1"/>
    <col min="14525" max="14525" width="12.88671875" style="1" customWidth="1"/>
    <col min="14526" max="14526" width="14" style="1" customWidth="1"/>
    <col min="14527" max="14527" width="13.33203125" style="1" customWidth="1"/>
    <col min="14528" max="14528" width="13.44140625" style="1" customWidth="1"/>
    <col min="14529" max="14529" width="12.44140625" style="1" customWidth="1"/>
    <col min="14530" max="14530" width="12.109375" style="1" customWidth="1"/>
    <col min="14531" max="14531" width="13.33203125" style="1" customWidth="1"/>
    <col min="14532" max="14532" width="12.33203125" style="1" bestFit="1" customWidth="1"/>
    <col min="14533" max="14533" width="13.5546875" style="1" customWidth="1"/>
    <col min="14534" max="14534" width="13.44140625" style="1" bestFit="1" customWidth="1"/>
    <col min="14535" max="14536" width="12.33203125" style="1" bestFit="1" customWidth="1"/>
    <col min="14537" max="14540" width="13.44140625" style="1" bestFit="1" customWidth="1"/>
    <col min="14541" max="14541" width="15.44140625" style="1" customWidth="1"/>
    <col min="14542" max="14542" width="14.6640625" style="1" customWidth="1"/>
    <col min="14543" max="14543" width="15.109375" style="1" customWidth="1"/>
    <col min="14544" max="14544" width="15" style="1" customWidth="1"/>
    <col min="14545" max="14545" width="14.109375" style="1" customWidth="1"/>
    <col min="14546" max="14546" width="15.44140625" style="1" customWidth="1"/>
    <col min="14547" max="14547" width="17.44140625" style="1" customWidth="1"/>
    <col min="14548" max="14548" width="16.33203125" style="1" customWidth="1"/>
    <col min="14549" max="14551" width="15.5546875" style="1" customWidth="1"/>
    <col min="14552" max="14554" width="13.44140625" style="1" bestFit="1" customWidth="1"/>
    <col min="14555" max="14555" width="15.109375" style="1" customWidth="1"/>
    <col min="14556" max="14556" width="14.109375" style="1" customWidth="1"/>
    <col min="14557" max="14557" width="14.33203125" style="1" customWidth="1"/>
    <col min="14558" max="14558" width="14.88671875" style="1" customWidth="1"/>
    <col min="14559" max="14559" width="14.5546875" style="1" customWidth="1"/>
    <col min="14560" max="14560" width="16.44140625" style="1" customWidth="1"/>
    <col min="14561" max="14561" width="16.33203125" style="1" customWidth="1"/>
    <col min="14562" max="14562" width="15.88671875" style="1" customWidth="1"/>
    <col min="14563" max="14563" width="16.33203125" style="1" customWidth="1"/>
    <col min="14564" max="14564" width="17" style="1" customWidth="1"/>
    <col min="14565" max="14565" width="16.33203125" style="1" customWidth="1"/>
    <col min="14566" max="14566" width="15.109375" style="1" customWidth="1"/>
    <col min="14567" max="14567" width="14.88671875" style="1" customWidth="1"/>
    <col min="14568" max="14569" width="13.6640625" style="1" customWidth="1"/>
    <col min="14570" max="14570" width="14.109375" style="1" customWidth="1"/>
    <col min="14571" max="14571" width="15.33203125" style="1" customWidth="1"/>
    <col min="14572" max="14573" width="15.5546875" style="1" customWidth="1"/>
    <col min="14574" max="14574" width="17.5546875" style="1" customWidth="1"/>
    <col min="14575" max="14575" width="17.88671875" style="1" customWidth="1"/>
    <col min="14576" max="14576" width="17.33203125" style="1" customWidth="1"/>
    <col min="14577" max="14579" width="13.44140625" style="1" bestFit="1" customWidth="1"/>
    <col min="14580" max="14580" width="13.44140625" style="1" customWidth="1"/>
    <col min="14581" max="14582" width="13.88671875" style="1" customWidth="1"/>
    <col min="14583" max="14585" width="13.44140625" style="1" bestFit="1" customWidth="1"/>
    <col min="14586" max="14586" width="13" style="1" customWidth="1"/>
    <col min="14587" max="14587" width="13.33203125" style="1" customWidth="1"/>
    <col min="14588" max="14588" width="14.88671875" style="1" customWidth="1"/>
    <col min="14589" max="14591" width="13.44140625" style="1"/>
    <col min="14592" max="14592" width="55" style="1" bestFit="1" customWidth="1"/>
    <col min="14593" max="14597" width="10.88671875" style="1" bestFit="1" customWidth="1"/>
    <col min="14598" max="14616" width="12.33203125" style="1" bestFit="1" customWidth="1"/>
    <col min="14617" max="14618" width="10.88671875" style="1" bestFit="1" customWidth="1"/>
    <col min="14619" max="14619" width="12.33203125" style="1" bestFit="1" customWidth="1"/>
    <col min="14620" max="14620" width="10.88671875" style="1" bestFit="1" customWidth="1"/>
    <col min="14621" max="14621" width="12.33203125" style="1" customWidth="1"/>
    <col min="14622" max="14622" width="12.33203125" style="1" bestFit="1" customWidth="1"/>
    <col min="14623" max="14623" width="10.88671875" style="1" bestFit="1" customWidth="1"/>
    <col min="14624" max="14624" width="12.33203125" style="1" bestFit="1" customWidth="1"/>
    <col min="14625" max="14643" width="10.88671875" style="1" bestFit="1" customWidth="1"/>
    <col min="14644" max="14660" width="12.33203125" style="1" bestFit="1" customWidth="1"/>
    <col min="14661" max="14662" width="10.88671875" style="1" bestFit="1" customWidth="1"/>
    <col min="14663" max="14663" width="12.33203125" style="1" bestFit="1" customWidth="1"/>
    <col min="14664" max="14668" width="10.88671875" style="1" bestFit="1" customWidth="1"/>
    <col min="14669" max="14676" width="12.33203125" style="1" bestFit="1" customWidth="1"/>
    <col min="14677" max="14677" width="10.88671875" style="1" bestFit="1" customWidth="1"/>
    <col min="14678" max="14679" width="12.33203125" style="1" bestFit="1" customWidth="1"/>
    <col min="14680" max="14680" width="10.88671875" style="1" bestFit="1" customWidth="1"/>
    <col min="14681" max="14683" width="12.33203125" style="1" bestFit="1" customWidth="1"/>
    <col min="14684" max="14685" width="10.88671875" style="1" customWidth="1"/>
    <col min="14686" max="14686" width="10.88671875" style="1" bestFit="1" customWidth="1"/>
    <col min="14687" max="14687" width="10.88671875" style="1" customWidth="1"/>
    <col min="14688" max="14695" width="10.88671875" style="1" bestFit="1" customWidth="1"/>
    <col min="14696" max="14696" width="12.33203125" style="1" bestFit="1" customWidth="1"/>
    <col min="14697" max="14697" width="10.88671875" style="1" bestFit="1" customWidth="1"/>
    <col min="14698" max="14713" width="12.33203125" style="1" bestFit="1" customWidth="1"/>
    <col min="14714" max="14714" width="10.88671875" style="1" bestFit="1" customWidth="1"/>
    <col min="14715" max="14717" width="12.33203125" style="1" bestFit="1" customWidth="1"/>
    <col min="14718" max="14718" width="13.44140625" style="1" bestFit="1" customWidth="1"/>
    <col min="14719" max="14720" width="12.33203125" style="1" bestFit="1" customWidth="1"/>
    <col min="14721" max="14722" width="13.44140625" style="1" bestFit="1" customWidth="1"/>
    <col min="14723" max="14738" width="12.33203125" style="1" bestFit="1" customWidth="1"/>
    <col min="14739" max="14739" width="13.44140625" style="1" bestFit="1" customWidth="1"/>
    <col min="14740" max="14740" width="12.33203125" style="1" bestFit="1" customWidth="1"/>
    <col min="14741" max="14741" width="13.44140625" style="1" bestFit="1" customWidth="1"/>
    <col min="14742" max="14743" width="12.33203125" style="1" bestFit="1" customWidth="1"/>
    <col min="14744" max="14747" width="13.44140625" style="1" bestFit="1" customWidth="1"/>
    <col min="14748" max="14750" width="12.33203125" style="1" bestFit="1" customWidth="1"/>
    <col min="14751" max="14751" width="13.44140625" style="1" bestFit="1" customWidth="1"/>
    <col min="14752" max="14754" width="12.33203125" style="1" bestFit="1" customWidth="1"/>
    <col min="14755" max="14757" width="13.5546875" style="1" bestFit="1" customWidth="1"/>
    <col min="14758" max="14759" width="13.44140625" style="1" bestFit="1" customWidth="1"/>
    <col min="14760" max="14760" width="13.5546875" style="1" bestFit="1" customWidth="1"/>
    <col min="14761" max="14762" width="13.44140625" style="1" bestFit="1" customWidth="1"/>
    <col min="14763" max="14764" width="12.33203125" style="1" bestFit="1" customWidth="1"/>
    <col min="14765" max="14765" width="13.44140625" style="1" bestFit="1" customWidth="1"/>
    <col min="14766" max="14769" width="12.33203125" style="1" bestFit="1" customWidth="1"/>
    <col min="14770" max="14770" width="14.33203125" style="1" customWidth="1"/>
    <col min="14771" max="14771" width="13.88671875" style="1" customWidth="1"/>
    <col min="14772" max="14772" width="13.33203125" style="1" customWidth="1"/>
    <col min="14773" max="14775" width="14.5546875" style="1" customWidth="1"/>
    <col min="14776" max="14776" width="17.33203125" style="1" customWidth="1"/>
    <col min="14777" max="14777" width="14.5546875" style="1" customWidth="1"/>
    <col min="14778" max="14778" width="15.5546875" style="1" customWidth="1"/>
    <col min="14779" max="14779" width="13.44140625" style="1" bestFit="1" customWidth="1"/>
    <col min="14780" max="14780" width="12.33203125" style="1" bestFit="1" customWidth="1"/>
    <col min="14781" max="14781" width="12.88671875" style="1" customWidth="1"/>
    <col min="14782" max="14782" width="14" style="1" customWidth="1"/>
    <col min="14783" max="14783" width="13.33203125" style="1" customWidth="1"/>
    <col min="14784" max="14784" width="13.44140625" style="1" customWidth="1"/>
    <col min="14785" max="14785" width="12.44140625" style="1" customWidth="1"/>
    <col min="14786" max="14786" width="12.109375" style="1" customWidth="1"/>
    <col min="14787" max="14787" width="13.33203125" style="1" customWidth="1"/>
    <col min="14788" max="14788" width="12.33203125" style="1" bestFit="1" customWidth="1"/>
    <col min="14789" max="14789" width="13.5546875" style="1" customWidth="1"/>
    <col min="14790" max="14790" width="13.44140625" style="1" bestFit="1" customWidth="1"/>
    <col min="14791" max="14792" width="12.33203125" style="1" bestFit="1" customWidth="1"/>
    <col min="14793" max="14796" width="13.44140625" style="1" bestFit="1" customWidth="1"/>
    <col min="14797" max="14797" width="15.44140625" style="1" customWidth="1"/>
    <col min="14798" max="14798" width="14.6640625" style="1" customWidth="1"/>
    <col min="14799" max="14799" width="15.109375" style="1" customWidth="1"/>
    <col min="14800" max="14800" width="15" style="1" customWidth="1"/>
    <col min="14801" max="14801" width="14.109375" style="1" customWidth="1"/>
    <col min="14802" max="14802" width="15.44140625" style="1" customWidth="1"/>
    <col min="14803" max="14803" width="17.44140625" style="1" customWidth="1"/>
    <col min="14804" max="14804" width="16.33203125" style="1" customWidth="1"/>
    <col min="14805" max="14807" width="15.5546875" style="1" customWidth="1"/>
    <col min="14808" max="14810" width="13.44140625" style="1" bestFit="1" customWidth="1"/>
    <col min="14811" max="14811" width="15.109375" style="1" customWidth="1"/>
    <col min="14812" max="14812" width="14.109375" style="1" customWidth="1"/>
    <col min="14813" max="14813" width="14.33203125" style="1" customWidth="1"/>
    <col min="14814" max="14814" width="14.88671875" style="1" customWidth="1"/>
    <col min="14815" max="14815" width="14.5546875" style="1" customWidth="1"/>
    <col min="14816" max="14816" width="16.44140625" style="1" customWidth="1"/>
    <col min="14817" max="14817" width="16.33203125" style="1" customWidth="1"/>
    <col min="14818" max="14818" width="15.88671875" style="1" customWidth="1"/>
    <col min="14819" max="14819" width="16.33203125" style="1" customWidth="1"/>
    <col min="14820" max="14820" width="17" style="1" customWidth="1"/>
    <col min="14821" max="14821" width="16.33203125" style="1" customWidth="1"/>
    <col min="14822" max="14822" width="15.109375" style="1" customWidth="1"/>
    <col min="14823" max="14823" width="14.88671875" style="1" customWidth="1"/>
    <col min="14824" max="14825" width="13.6640625" style="1" customWidth="1"/>
    <col min="14826" max="14826" width="14.109375" style="1" customWidth="1"/>
    <col min="14827" max="14827" width="15.33203125" style="1" customWidth="1"/>
    <col min="14828" max="14829" width="15.5546875" style="1" customWidth="1"/>
    <col min="14830" max="14830" width="17.5546875" style="1" customWidth="1"/>
    <col min="14831" max="14831" width="17.88671875" style="1" customWidth="1"/>
    <col min="14832" max="14832" width="17.33203125" style="1" customWidth="1"/>
    <col min="14833" max="14835" width="13.44140625" style="1" bestFit="1" customWidth="1"/>
    <col min="14836" max="14836" width="13.44140625" style="1" customWidth="1"/>
    <col min="14837" max="14838" width="13.88671875" style="1" customWidth="1"/>
    <col min="14839" max="14841" width="13.44140625" style="1" bestFit="1" customWidth="1"/>
    <col min="14842" max="14842" width="13" style="1" customWidth="1"/>
    <col min="14843" max="14843" width="13.33203125" style="1" customWidth="1"/>
    <col min="14844" max="14844" width="14.88671875" style="1" customWidth="1"/>
    <col min="14845" max="14847" width="13.44140625" style="1"/>
    <col min="14848" max="14848" width="55" style="1" bestFit="1" customWidth="1"/>
    <col min="14849" max="14853" width="10.88671875" style="1" bestFit="1" customWidth="1"/>
    <col min="14854" max="14872" width="12.33203125" style="1" bestFit="1" customWidth="1"/>
    <col min="14873" max="14874" width="10.88671875" style="1" bestFit="1" customWidth="1"/>
    <col min="14875" max="14875" width="12.33203125" style="1" bestFit="1" customWidth="1"/>
    <col min="14876" max="14876" width="10.88671875" style="1" bestFit="1" customWidth="1"/>
    <col min="14877" max="14877" width="12.33203125" style="1" customWidth="1"/>
    <col min="14878" max="14878" width="12.33203125" style="1" bestFit="1" customWidth="1"/>
    <col min="14879" max="14879" width="10.88671875" style="1" bestFit="1" customWidth="1"/>
    <col min="14880" max="14880" width="12.33203125" style="1" bestFit="1" customWidth="1"/>
    <col min="14881" max="14899" width="10.88671875" style="1" bestFit="1" customWidth="1"/>
    <col min="14900" max="14916" width="12.33203125" style="1" bestFit="1" customWidth="1"/>
    <col min="14917" max="14918" width="10.88671875" style="1" bestFit="1" customWidth="1"/>
    <col min="14919" max="14919" width="12.33203125" style="1" bestFit="1" customWidth="1"/>
    <col min="14920" max="14924" width="10.88671875" style="1" bestFit="1" customWidth="1"/>
    <col min="14925" max="14932" width="12.33203125" style="1" bestFit="1" customWidth="1"/>
    <col min="14933" max="14933" width="10.88671875" style="1" bestFit="1" customWidth="1"/>
    <col min="14934" max="14935" width="12.33203125" style="1" bestFit="1" customWidth="1"/>
    <col min="14936" max="14936" width="10.88671875" style="1" bestFit="1" customWidth="1"/>
    <col min="14937" max="14939" width="12.33203125" style="1" bestFit="1" customWidth="1"/>
    <col min="14940" max="14941" width="10.88671875" style="1" customWidth="1"/>
    <col min="14942" max="14942" width="10.88671875" style="1" bestFit="1" customWidth="1"/>
    <col min="14943" max="14943" width="10.88671875" style="1" customWidth="1"/>
    <col min="14944" max="14951" width="10.88671875" style="1" bestFit="1" customWidth="1"/>
    <col min="14952" max="14952" width="12.33203125" style="1" bestFit="1" customWidth="1"/>
    <col min="14953" max="14953" width="10.88671875" style="1" bestFit="1" customWidth="1"/>
    <col min="14954" max="14969" width="12.33203125" style="1" bestFit="1" customWidth="1"/>
    <col min="14970" max="14970" width="10.88671875" style="1" bestFit="1" customWidth="1"/>
    <col min="14971" max="14973" width="12.33203125" style="1" bestFit="1" customWidth="1"/>
    <col min="14974" max="14974" width="13.44140625" style="1" bestFit="1" customWidth="1"/>
    <col min="14975" max="14976" width="12.33203125" style="1" bestFit="1" customWidth="1"/>
    <col min="14977" max="14978" width="13.44140625" style="1" bestFit="1" customWidth="1"/>
    <col min="14979" max="14994" width="12.33203125" style="1" bestFit="1" customWidth="1"/>
    <col min="14995" max="14995" width="13.44140625" style="1" bestFit="1" customWidth="1"/>
    <col min="14996" max="14996" width="12.33203125" style="1" bestFit="1" customWidth="1"/>
    <col min="14997" max="14997" width="13.44140625" style="1" bestFit="1" customWidth="1"/>
    <col min="14998" max="14999" width="12.33203125" style="1" bestFit="1" customWidth="1"/>
    <col min="15000" max="15003" width="13.44140625" style="1" bestFit="1" customWidth="1"/>
    <col min="15004" max="15006" width="12.33203125" style="1" bestFit="1" customWidth="1"/>
    <col min="15007" max="15007" width="13.44140625" style="1" bestFit="1" customWidth="1"/>
    <col min="15008" max="15010" width="12.33203125" style="1" bestFit="1" customWidth="1"/>
    <col min="15011" max="15013" width="13.5546875" style="1" bestFit="1" customWidth="1"/>
    <col min="15014" max="15015" width="13.44140625" style="1" bestFit="1" customWidth="1"/>
    <col min="15016" max="15016" width="13.5546875" style="1" bestFit="1" customWidth="1"/>
    <col min="15017" max="15018" width="13.44140625" style="1" bestFit="1" customWidth="1"/>
    <col min="15019" max="15020" width="12.33203125" style="1" bestFit="1" customWidth="1"/>
    <col min="15021" max="15021" width="13.44140625" style="1" bestFit="1" customWidth="1"/>
    <col min="15022" max="15025" width="12.33203125" style="1" bestFit="1" customWidth="1"/>
    <col min="15026" max="15026" width="14.33203125" style="1" customWidth="1"/>
    <col min="15027" max="15027" width="13.88671875" style="1" customWidth="1"/>
    <col min="15028" max="15028" width="13.33203125" style="1" customWidth="1"/>
    <col min="15029" max="15031" width="14.5546875" style="1" customWidth="1"/>
    <col min="15032" max="15032" width="17.33203125" style="1" customWidth="1"/>
    <col min="15033" max="15033" width="14.5546875" style="1" customWidth="1"/>
    <col min="15034" max="15034" width="15.5546875" style="1" customWidth="1"/>
    <col min="15035" max="15035" width="13.44140625" style="1" bestFit="1" customWidth="1"/>
    <col min="15036" max="15036" width="12.33203125" style="1" bestFit="1" customWidth="1"/>
    <col min="15037" max="15037" width="12.88671875" style="1" customWidth="1"/>
    <col min="15038" max="15038" width="14" style="1" customWidth="1"/>
    <col min="15039" max="15039" width="13.33203125" style="1" customWidth="1"/>
    <col min="15040" max="15040" width="13.44140625" style="1" customWidth="1"/>
    <col min="15041" max="15041" width="12.44140625" style="1" customWidth="1"/>
    <col min="15042" max="15042" width="12.109375" style="1" customWidth="1"/>
    <col min="15043" max="15043" width="13.33203125" style="1" customWidth="1"/>
    <col min="15044" max="15044" width="12.33203125" style="1" bestFit="1" customWidth="1"/>
    <col min="15045" max="15045" width="13.5546875" style="1" customWidth="1"/>
    <col min="15046" max="15046" width="13.44140625" style="1" bestFit="1" customWidth="1"/>
    <col min="15047" max="15048" width="12.33203125" style="1" bestFit="1" customWidth="1"/>
    <col min="15049" max="15052" width="13.44140625" style="1" bestFit="1" customWidth="1"/>
    <col min="15053" max="15053" width="15.44140625" style="1" customWidth="1"/>
    <col min="15054" max="15054" width="14.6640625" style="1" customWidth="1"/>
    <col min="15055" max="15055" width="15.109375" style="1" customWidth="1"/>
    <col min="15056" max="15056" width="15" style="1" customWidth="1"/>
    <col min="15057" max="15057" width="14.109375" style="1" customWidth="1"/>
    <col min="15058" max="15058" width="15.44140625" style="1" customWidth="1"/>
    <col min="15059" max="15059" width="17.44140625" style="1" customWidth="1"/>
    <col min="15060" max="15060" width="16.33203125" style="1" customWidth="1"/>
    <col min="15061" max="15063" width="15.5546875" style="1" customWidth="1"/>
    <col min="15064" max="15066" width="13.44140625" style="1" bestFit="1" customWidth="1"/>
    <col min="15067" max="15067" width="15.109375" style="1" customWidth="1"/>
    <col min="15068" max="15068" width="14.109375" style="1" customWidth="1"/>
    <col min="15069" max="15069" width="14.33203125" style="1" customWidth="1"/>
    <col min="15070" max="15070" width="14.88671875" style="1" customWidth="1"/>
    <col min="15071" max="15071" width="14.5546875" style="1" customWidth="1"/>
    <col min="15072" max="15072" width="16.44140625" style="1" customWidth="1"/>
    <col min="15073" max="15073" width="16.33203125" style="1" customWidth="1"/>
    <col min="15074" max="15074" width="15.88671875" style="1" customWidth="1"/>
    <col min="15075" max="15075" width="16.33203125" style="1" customWidth="1"/>
    <col min="15076" max="15076" width="17" style="1" customWidth="1"/>
    <col min="15077" max="15077" width="16.33203125" style="1" customWidth="1"/>
    <col min="15078" max="15078" width="15.109375" style="1" customWidth="1"/>
    <col min="15079" max="15079" width="14.88671875" style="1" customWidth="1"/>
    <col min="15080" max="15081" width="13.6640625" style="1" customWidth="1"/>
    <col min="15082" max="15082" width="14.109375" style="1" customWidth="1"/>
    <col min="15083" max="15083" width="15.33203125" style="1" customWidth="1"/>
    <col min="15084" max="15085" width="15.5546875" style="1" customWidth="1"/>
    <col min="15086" max="15086" width="17.5546875" style="1" customWidth="1"/>
    <col min="15087" max="15087" width="17.88671875" style="1" customWidth="1"/>
    <col min="15088" max="15088" width="17.33203125" style="1" customWidth="1"/>
    <col min="15089" max="15091" width="13.44140625" style="1" bestFit="1" customWidth="1"/>
    <col min="15092" max="15092" width="13.44140625" style="1" customWidth="1"/>
    <col min="15093" max="15094" width="13.88671875" style="1" customWidth="1"/>
    <col min="15095" max="15097" width="13.44140625" style="1" bestFit="1" customWidth="1"/>
    <col min="15098" max="15098" width="13" style="1" customWidth="1"/>
    <col min="15099" max="15099" width="13.33203125" style="1" customWidth="1"/>
    <col min="15100" max="15100" width="14.88671875" style="1" customWidth="1"/>
    <col min="15101" max="15103" width="13.44140625" style="1"/>
    <col min="15104" max="15104" width="55" style="1" bestFit="1" customWidth="1"/>
    <col min="15105" max="15109" width="10.88671875" style="1" bestFit="1" customWidth="1"/>
    <col min="15110" max="15128" width="12.33203125" style="1" bestFit="1" customWidth="1"/>
    <col min="15129" max="15130" width="10.88671875" style="1" bestFit="1" customWidth="1"/>
    <col min="15131" max="15131" width="12.33203125" style="1" bestFit="1" customWidth="1"/>
    <col min="15132" max="15132" width="10.88671875" style="1" bestFit="1" customWidth="1"/>
    <col min="15133" max="15133" width="12.33203125" style="1" customWidth="1"/>
    <col min="15134" max="15134" width="12.33203125" style="1" bestFit="1" customWidth="1"/>
    <col min="15135" max="15135" width="10.88671875" style="1" bestFit="1" customWidth="1"/>
    <col min="15136" max="15136" width="12.33203125" style="1" bestFit="1" customWidth="1"/>
    <col min="15137" max="15155" width="10.88671875" style="1" bestFit="1" customWidth="1"/>
    <col min="15156" max="15172" width="12.33203125" style="1" bestFit="1" customWidth="1"/>
    <col min="15173" max="15174" width="10.88671875" style="1" bestFit="1" customWidth="1"/>
    <col min="15175" max="15175" width="12.33203125" style="1" bestFit="1" customWidth="1"/>
    <col min="15176" max="15180" width="10.88671875" style="1" bestFit="1" customWidth="1"/>
    <col min="15181" max="15188" width="12.33203125" style="1" bestFit="1" customWidth="1"/>
    <col min="15189" max="15189" width="10.88671875" style="1" bestFit="1" customWidth="1"/>
    <col min="15190" max="15191" width="12.33203125" style="1" bestFit="1" customWidth="1"/>
    <col min="15192" max="15192" width="10.88671875" style="1" bestFit="1" customWidth="1"/>
    <col min="15193" max="15195" width="12.33203125" style="1" bestFit="1" customWidth="1"/>
    <col min="15196" max="15197" width="10.88671875" style="1" customWidth="1"/>
    <col min="15198" max="15198" width="10.88671875" style="1" bestFit="1" customWidth="1"/>
    <col min="15199" max="15199" width="10.88671875" style="1" customWidth="1"/>
    <col min="15200" max="15207" width="10.88671875" style="1" bestFit="1" customWidth="1"/>
    <col min="15208" max="15208" width="12.33203125" style="1" bestFit="1" customWidth="1"/>
    <col min="15209" max="15209" width="10.88671875" style="1" bestFit="1" customWidth="1"/>
    <col min="15210" max="15225" width="12.33203125" style="1" bestFit="1" customWidth="1"/>
    <col min="15226" max="15226" width="10.88671875" style="1" bestFit="1" customWidth="1"/>
    <col min="15227" max="15229" width="12.33203125" style="1" bestFit="1" customWidth="1"/>
    <col min="15230" max="15230" width="13.44140625" style="1" bestFit="1" customWidth="1"/>
    <col min="15231" max="15232" width="12.33203125" style="1" bestFit="1" customWidth="1"/>
    <col min="15233" max="15234" width="13.44140625" style="1" bestFit="1" customWidth="1"/>
    <col min="15235" max="15250" width="12.33203125" style="1" bestFit="1" customWidth="1"/>
    <col min="15251" max="15251" width="13.44140625" style="1" bestFit="1" customWidth="1"/>
    <col min="15252" max="15252" width="12.33203125" style="1" bestFit="1" customWidth="1"/>
    <col min="15253" max="15253" width="13.44140625" style="1" bestFit="1" customWidth="1"/>
    <col min="15254" max="15255" width="12.33203125" style="1" bestFit="1" customWidth="1"/>
    <col min="15256" max="15259" width="13.44140625" style="1" bestFit="1" customWidth="1"/>
    <col min="15260" max="15262" width="12.33203125" style="1" bestFit="1" customWidth="1"/>
    <col min="15263" max="15263" width="13.44140625" style="1" bestFit="1" customWidth="1"/>
    <col min="15264" max="15266" width="12.33203125" style="1" bestFit="1" customWidth="1"/>
    <col min="15267" max="15269" width="13.5546875" style="1" bestFit="1" customWidth="1"/>
    <col min="15270" max="15271" width="13.44140625" style="1" bestFit="1" customWidth="1"/>
    <col min="15272" max="15272" width="13.5546875" style="1" bestFit="1" customWidth="1"/>
    <col min="15273" max="15274" width="13.44140625" style="1" bestFit="1" customWidth="1"/>
    <col min="15275" max="15276" width="12.33203125" style="1" bestFit="1" customWidth="1"/>
    <col min="15277" max="15277" width="13.44140625" style="1" bestFit="1" customWidth="1"/>
    <col min="15278" max="15281" width="12.33203125" style="1" bestFit="1" customWidth="1"/>
    <col min="15282" max="15282" width="14.33203125" style="1" customWidth="1"/>
    <col min="15283" max="15283" width="13.88671875" style="1" customWidth="1"/>
    <col min="15284" max="15284" width="13.33203125" style="1" customWidth="1"/>
    <col min="15285" max="15287" width="14.5546875" style="1" customWidth="1"/>
    <col min="15288" max="15288" width="17.33203125" style="1" customWidth="1"/>
    <col min="15289" max="15289" width="14.5546875" style="1" customWidth="1"/>
    <col min="15290" max="15290" width="15.5546875" style="1" customWidth="1"/>
    <col min="15291" max="15291" width="13.44140625" style="1" bestFit="1" customWidth="1"/>
    <col min="15292" max="15292" width="12.33203125" style="1" bestFit="1" customWidth="1"/>
    <col min="15293" max="15293" width="12.88671875" style="1" customWidth="1"/>
    <col min="15294" max="15294" width="14" style="1" customWidth="1"/>
    <col min="15295" max="15295" width="13.33203125" style="1" customWidth="1"/>
    <col min="15296" max="15296" width="13.44140625" style="1" customWidth="1"/>
    <col min="15297" max="15297" width="12.44140625" style="1" customWidth="1"/>
    <col min="15298" max="15298" width="12.109375" style="1" customWidth="1"/>
    <col min="15299" max="15299" width="13.33203125" style="1" customWidth="1"/>
    <col min="15300" max="15300" width="12.33203125" style="1" bestFit="1" customWidth="1"/>
    <col min="15301" max="15301" width="13.5546875" style="1" customWidth="1"/>
    <col min="15302" max="15302" width="13.44140625" style="1" bestFit="1" customWidth="1"/>
    <col min="15303" max="15304" width="12.33203125" style="1" bestFit="1" customWidth="1"/>
    <col min="15305" max="15308" width="13.44140625" style="1" bestFit="1" customWidth="1"/>
    <col min="15309" max="15309" width="15.44140625" style="1" customWidth="1"/>
    <col min="15310" max="15310" width="14.6640625" style="1" customWidth="1"/>
    <col min="15311" max="15311" width="15.109375" style="1" customWidth="1"/>
    <col min="15312" max="15312" width="15" style="1" customWidth="1"/>
    <col min="15313" max="15313" width="14.109375" style="1" customWidth="1"/>
    <col min="15314" max="15314" width="15.44140625" style="1" customWidth="1"/>
    <col min="15315" max="15315" width="17.44140625" style="1" customWidth="1"/>
    <col min="15316" max="15316" width="16.33203125" style="1" customWidth="1"/>
    <col min="15317" max="15319" width="15.5546875" style="1" customWidth="1"/>
    <col min="15320" max="15322" width="13.44140625" style="1" bestFit="1" customWidth="1"/>
    <col min="15323" max="15323" width="15.109375" style="1" customWidth="1"/>
    <col min="15324" max="15324" width="14.109375" style="1" customWidth="1"/>
    <col min="15325" max="15325" width="14.33203125" style="1" customWidth="1"/>
    <col min="15326" max="15326" width="14.88671875" style="1" customWidth="1"/>
    <col min="15327" max="15327" width="14.5546875" style="1" customWidth="1"/>
    <col min="15328" max="15328" width="16.44140625" style="1" customWidth="1"/>
    <col min="15329" max="15329" width="16.33203125" style="1" customWidth="1"/>
    <col min="15330" max="15330" width="15.88671875" style="1" customWidth="1"/>
    <col min="15331" max="15331" width="16.33203125" style="1" customWidth="1"/>
    <col min="15332" max="15332" width="17" style="1" customWidth="1"/>
    <col min="15333" max="15333" width="16.33203125" style="1" customWidth="1"/>
    <col min="15334" max="15334" width="15.109375" style="1" customWidth="1"/>
    <col min="15335" max="15335" width="14.88671875" style="1" customWidth="1"/>
    <col min="15336" max="15337" width="13.6640625" style="1" customWidth="1"/>
    <col min="15338" max="15338" width="14.109375" style="1" customWidth="1"/>
    <col min="15339" max="15339" width="15.33203125" style="1" customWidth="1"/>
    <col min="15340" max="15341" width="15.5546875" style="1" customWidth="1"/>
    <col min="15342" max="15342" width="17.5546875" style="1" customWidth="1"/>
    <col min="15343" max="15343" width="17.88671875" style="1" customWidth="1"/>
    <col min="15344" max="15344" width="17.33203125" style="1" customWidth="1"/>
    <col min="15345" max="15347" width="13.44140625" style="1" bestFit="1" customWidth="1"/>
    <col min="15348" max="15348" width="13.44140625" style="1" customWidth="1"/>
    <col min="15349" max="15350" width="13.88671875" style="1" customWidth="1"/>
    <col min="15351" max="15353" width="13.44140625" style="1" bestFit="1" customWidth="1"/>
    <col min="15354" max="15354" width="13" style="1" customWidth="1"/>
    <col min="15355" max="15355" width="13.33203125" style="1" customWidth="1"/>
    <col min="15356" max="15356" width="14.88671875" style="1" customWidth="1"/>
    <col min="15357" max="15359" width="13.44140625" style="1"/>
    <col min="15360" max="15360" width="55" style="1" bestFit="1" customWidth="1"/>
    <col min="15361" max="15365" width="10.88671875" style="1" bestFit="1" customWidth="1"/>
    <col min="15366" max="15384" width="12.33203125" style="1" bestFit="1" customWidth="1"/>
    <col min="15385" max="15386" width="10.88671875" style="1" bestFit="1" customWidth="1"/>
    <col min="15387" max="15387" width="12.33203125" style="1" bestFit="1" customWidth="1"/>
    <col min="15388" max="15388" width="10.88671875" style="1" bestFit="1" customWidth="1"/>
    <col min="15389" max="15389" width="12.33203125" style="1" customWidth="1"/>
    <col min="15390" max="15390" width="12.33203125" style="1" bestFit="1" customWidth="1"/>
    <col min="15391" max="15391" width="10.88671875" style="1" bestFit="1" customWidth="1"/>
    <col min="15392" max="15392" width="12.33203125" style="1" bestFit="1" customWidth="1"/>
    <col min="15393" max="15411" width="10.88671875" style="1" bestFit="1" customWidth="1"/>
    <col min="15412" max="15428" width="12.33203125" style="1" bestFit="1" customWidth="1"/>
    <col min="15429" max="15430" width="10.88671875" style="1" bestFit="1" customWidth="1"/>
    <col min="15431" max="15431" width="12.33203125" style="1" bestFit="1" customWidth="1"/>
    <col min="15432" max="15436" width="10.88671875" style="1" bestFit="1" customWidth="1"/>
    <col min="15437" max="15444" width="12.33203125" style="1" bestFit="1" customWidth="1"/>
    <col min="15445" max="15445" width="10.88671875" style="1" bestFit="1" customWidth="1"/>
    <col min="15446" max="15447" width="12.33203125" style="1" bestFit="1" customWidth="1"/>
    <col min="15448" max="15448" width="10.88671875" style="1" bestFit="1" customWidth="1"/>
    <col min="15449" max="15451" width="12.33203125" style="1" bestFit="1" customWidth="1"/>
    <col min="15452" max="15453" width="10.88671875" style="1" customWidth="1"/>
    <col min="15454" max="15454" width="10.88671875" style="1" bestFit="1" customWidth="1"/>
    <col min="15455" max="15455" width="10.88671875" style="1" customWidth="1"/>
    <col min="15456" max="15463" width="10.88671875" style="1" bestFit="1" customWidth="1"/>
    <col min="15464" max="15464" width="12.33203125" style="1" bestFit="1" customWidth="1"/>
    <col min="15465" max="15465" width="10.88671875" style="1" bestFit="1" customWidth="1"/>
    <col min="15466" max="15481" width="12.33203125" style="1" bestFit="1" customWidth="1"/>
    <col min="15482" max="15482" width="10.88671875" style="1" bestFit="1" customWidth="1"/>
    <col min="15483" max="15485" width="12.33203125" style="1" bestFit="1" customWidth="1"/>
    <col min="15486" max="15486" width="13.44140625" style="1" bestFit="1" customWidth="1"/>
    <col min="15487" max="15488" width="12.33203125" style="1" bestFit="1" customWidth="1"/>
    <col min="15489" max="15490" width="13.44140625" style="1" bestFit="1" customWidth="1"/>
    <col min="15491" max="15506" width="12.33203125" style="1" bestFit="1" customWidth="1"/>
    <col min="15507" max="15507" width="13.44140625" style="1" bestFit="1" customWidth="1"/>
    <col min="15508" max="15508" width="12.33203125" style="1" bestFit="1" customWidth="1"/>
    <col min="15509" max="15509" width="13.44140625" style="1" bestFit="1" customWidth="1"/>
    <col min="15510" max="15511" width="12.33203125" style="1" bestFit="1" customWidth="1"/>
    <col min="15512" max="15515" width="13.44140625" style="1" bestFit="1" customWidth="1"/>
    <col min="15516" max="15518" width="12.33203125" style="1" bestFit="1" customWidth="1"/>
    <col min="15519" max="15519" width="13.44140625" style="1" bestFit="1" customWidth="1"/>
    <col min="15520" max="15522" width="12.33203125" style="1" bestFit="1" customWidth="1"/>
    <col min="15523" max="15525" width="13.5546875" style="1" bestFit="1" customWidth="1"/>
    <col min="15526" max="15527" width="13.44140625" style="1" bestFit="1" customWidth="1"/>
    <col min="15528" max="15528" width="13.5546875" style="1" bestFit="1" customWidth="1"/>
    <col min="15529" max="15530" width="13.44140625" style="1" bestFit="1" customWidth="1"/>
    <col min="15531" max="15532" width="12.33203125" style="1" bestFit="1" customWidth="1"/>
    <col min="15533" max="15533" width="13.44140625" style="1" bestFit="1" customWidth="1"/>
    <col min="15534" max="15537" width="12.33203125" style="1" bestFit="1" customWidth="1"/>
    <col min="15538" max="15538" width="14.33203125" style="1" customWidth="1"/>
    <col min="15539" max="15539" width="13.88671875" style="1" customWidth="1"/>
    <col min="15540" max="15540" width="13.33203125" style="1" customWidth="1"/>
    <col min="15541" max="15543" width="14.5546875" style="1" customWidth="1"/>
    <col min="15544" max="15544" width="17.33203125" style="1" customWidth="1"/>
    <col min="15545" max="15545" width="14.5546875" style="1" customWidth="1"/>
    <col min="15546" max="15546" width="15.5546875" style="1" customWidth="1"/>
    <col min="15547" max="15547" width="13.44140625" style="1" bestFit="1" customWidth="1"/>
    <col min="15548" max="15548" width="12.33203125" style="1" bestFit="1" customWidth="1"/>
    <col min="15549" max="15549" width="12.88671875" style="1" customWidth="1"/>
    <col min="15550" max="15550" width="14" style="1" customWidth="1"/>
    <col min="15551" max="15551" width="13.33203125" style="1" customWidth="1"/>
    <col min="15552" max="15552" width="13.44140625" style="1" customWidth="1"/>
    <col min="15553" max="15553" width="12.44140625" style="1" customWidth="1"/>
    <col min="15554" max="15554" width="12.109375" style="1" customWidth="1"/>
    <col min="15555" max="15555" width="13.33203125" style="1" customWidth="1"/>
    <col min="15556" max="15556" width="12.33203125" style="1" bestFit="1" customWidth="1"/>
    <col min="15557" max="15557" width="13.5546875" style="1" customWidth="1"/>
    <col min="15558" max="15558" width="13.44140625" style="1" bestFit="1" customWidth="1"/>
    <col min="15559" max="15560" width="12.33203125" style="1" bestFit="1" customWidth="1"/>
    <col min="15561" max="15564" width="13.44140625" style="1" bestFit="1" customWidth="1"/>
    <col min="15565" max="15565" width="15.44140625" style="1" customWidth="1"/>
    <col min="15566" max="15566" width="14.6640625" style="1" customWidth="1"/>
    <col min="15567" max="15567" width="15.109375" style="1" customWidth="1"/>
    <col min="15568" max="15568" width="15" style="1" customWidth="1"/>
    <col min="15569" max="15569" width="14.109375" style="1" customWidth="1"/>
    <col min="15570" max="15570" width="15.44140625" style="1" customWidth="1"/>
    <col min="15571" max="15571" width="17.44140625" style="1" customWidth="1"/>
    <col min="15572" max="15572" width="16.33203125" style="1" customWidth="1"/>
    <col min="15573" max="15575" width="15.5546875" style="1" customWidth="1"/>
    <col min="15576" max="15578" width="13.44140625" style="1" bestFit="1" customWidth="1"/>
    <col min="15579" max="15579" width="15.109375" style="1" customWidth="1"/>
    <col min="15580" max="15580" width="14.109375" style="1" customWidth="1"/>
    <col min="15581" max="15581" width="14.33203125" style="1" customWidth="1"/>
    <col min="15582" max="15582" width="14.88671875" style="1" customWidth="1"/>
    <col min="15583" max="15583" width="14.5546875" style="1" customWidth="1"/>
    <col min="15584" max="15584" width="16.44140625" style="1" customWidth="1"/>
    <col min="15585" max="15585" width="16.33203125" style="1" customWidth="1"/>
    <col min="15586" max="15586" width="15.88671875" style="1" customWidth="1"/>
    <col min="15587" max="15587" width="16.33203125" style="1" customWidth="1"/>
    <col min="15588" max="15588" width="17" style="1" customWidth="1"/>
    <col min="15589" max="15589" width="16.33203125" style="1" customWidth="1"/>
    <col min="15590" max="15590" width="15.109375" style="1" customWidth="1"/>
    <col min="15591" max="15591" width="14.88671875" style="1" customWidth="1"/>
    <col min="15592" max="15593" width="13.6640625" style="1" customWidth="1"/>
    <col min="15594" max="15594" width="14.109375" style="1" customWidth="1"/>
    <col min="15595" max="15595" width="15.33203125" style="1" customWidth="1"/>
    <col min="15596" max="15597" width="15.5546875" style="1" customWidth="1"/>
    <col min="15598" max="15598" width="17.5546875" style="1" customWidth="1"/>
    <col min="15599" max="15599" width="17.88671875" style="1" customWidth="1"/>
    <col min="15600" max="15600" width="17.33203125" style="1" customWidth="1"/>
    <col min="15601" max="15603" width="13.44140625" style="1" bestFit="1" customWidth="1"/>
    <col min="15604" max="15604" width="13.44140625" style="1" customWidth="1"/>
    <col min="15605" max="15606" width="13.88671875" style="1" customWidth="1"/>
    <col min="15607" max="15609" width="13.44140625" style="1" bestFit="1" customWidth="1"/>
    <col min="15610" max="15610" width="13" style="1" customWidth="1"/>
    <col min="15611" max="15611" width="13.33203125" style="1" customWidth="1"/>
    <col min="15612" max="15612" width="14.88671875" style="1" customWidth="1"/>
    <col min="15613" max="15615" width="13.44140625" style="1"/>
    <col min="15616" max="15616" width="55" style="1" bestFit="1" customWidth="1"/>
    <col min="15617" max="15621" width="10.88671875" style="1" bestFit="1" customWidth="1"/>
    <col min="15622" max="15640" width="12.33203125" style="1" bestFit="1" customWidth="1"/>
    <col min="15641" max="15642" width="10.88671875" style="1" bestFit="1" customWidth="1"/>
    <col min="15643" max="15643" width="12.33203125" style="1" bestFit="1" customWidth="1"/>
    <col min="15644" max="15644" width="10.88671875" style="1" bestFit="1" customWidth="1"/>
    <col min="15645" max="15645" width="12.33203125" style="1" customWidth="1"/>
    <col min="15646" max="15646" width="12.33203125" style="1" bestFit="1" customWidth="1"/>
    <col min="15647" max="15647" width="10.88671875" style="1" bestFit="1" customWidth="1"/>
    <col min="15648" max="15648" width="12.33203125" style="1" bestFit="1" customWidth="1"/>
    <col min="15649" max="15667" width="10.88671875" style="1" bestFit="1" customWidth="1"/>
    <col min="15668" max="15684" width="12.33203125" style="1" bestFit="1" customWidth="1"/>
    <col min="15685" max="15686" width="10.88671875" style="1" bestFit="1" customWidth="1"/>
    <col min="15687" max="15687" width="12.33203125" style="1" bestFit="1" customWidth="1"/>
    <col min="15688" max="15692" width="10.88671875" style="1" bestFit="1" customWidth="1"/>
    <col min="15693" max="15700" width="12.33203125" style="1" bestFit="1" customWidth="1"/>
    <col min="15701" max="15701" width="10.88671875" style="1" bestFit="1" customWidth="1"/>
    <col min="15702" max="15703" width="12.33203125" style="1" bestFit="1" customWidth="1"/>
    <col min="15704" max="15704" width="10.88671875" style="1" bestFit="1" customWidth="1"/>
    <col min="15705" max="15707" width="12.33203125" style="1" bestFit="1" customWidth="1"/>
    <col min="15708" max="15709" width="10.88671875" style="1" customWidth="1"/>
    <col min="15710" max="15710" width="10.88671875" style="1" bestFit="1" customWidth="1"/>
    <col min="15711" max="15711" width="10.88671875" style="1" customWidth="1"/>
    <col min="15712" max="15719" width="10.88671875" style="1" bestFit="1" customWidth="1"/>
    <col min="15720" max="15720" width="12.33203125" style="1" bestFit="1" customWidth="1"/>
    <col min="15721" max="15721" width="10.88671875" style="1" bestFit="1" customWidth="1"/>
    <col min="15722" max="15737" width="12.33203125" style="1" bestFit="1" customWidth="1"/>
    <col min="15738" max="15738" width="10.88671875" style="1" bestFit="1" customWidth="1"/>
    <col min="15739" max="15741" width="12.33203125" style="1" bestFit="1" customWidth="1"/>
    <col min="15742" max="15742" width="13.44140625" style="1" bestFit="1" customWidth="1"/>
    <col min="15743" max="15744" width="12.33203125" style="1" bestFit="1" customWidth="1"/>
    <col min="15745" max="15746" width="13.44140625" style="1" bestFit="1" customWidth="1"/>
    <col min="15747" max="15762" width="12.33203125" style="1" bestFit="1" customWidth="1"/>
    <col min="15763" max="15763" width="13.44140625" style="1" bestFit="1" customWidth="1"/>
    <col min="15764" max="15764" width="12.33203125" style="1" bestFit="1" customWidth="1"/>
    <col min="15765" max="15765" width="13.44140625" style="1" bestFit="1" customWidth="1"/>
    <col min="15766" max="15767" width="12.33203125" style="1" bestFit="1" customWidth="1"/>
    <col min="15768" max="15771" width="13.44140625" style="1" bestFit="1" customWidth="1"/>
    <col min="15772" max="15774" width="12.33203125" style="1" bestFit="1" customWidth="1"/>
    <col min="15775" max="15775" width="13.44140625" style="1" bestFit="1" customWidth="1"/>
    <col min="15776" max="15778" width="12.33203125" style="1" bestFit="1" customWidth="1"/>
    <col min="15779" max="15781" width="13.5546875" style="1" bestFit="1" customWidth="1"/>
    <col min="15782" max="15783" width="13.44140625" style="1" bestFit="1" customWidth="1"/>
    <col min="15784" max="15784" width="13.5546875" style="1" bestFit="1" customWidth="1"/>
    <col min="15785" max="15786" width="13.44140625" style="1" bestFit="1" customWidth="1"/>
    <col min="15787" max="15788" width="12.33203125" style="1" bestFit="1" customWidth="1"/>
    <col min="15789" max="15789" width="13.44140625" style="1" bestFit="1" customWidth="1"/>
    <col min="15790" max="15793" width="12.33203125" style="1" bestFit="1" customWidth="1"/>
    <col min="15794" max="15794" width="14.33203125" style="1" customWidth="1"/>
    <col min="15795" max="15795" width="13.88671875" style="1" customWidth="1"/>
    <col min="15796" max="15796" width="13.33203125" style="1" customWidth="1"/>
    <col min="15797" max="15799" width="14.5546875" style="1" customWidth="1"/>
    <col min="15800" max="15800" width="17.33203125" style="1" customWidth="1"/>
    <col min="15801" max="15801" width="14.5546875" style="1" customWidth="1"/>
    <col min="15802" max="15802" width="15.5546875" style="1" customWidth="1"/>
    <col min="15803" max="15803" width="13.44140625" style="1" bestFit="1" customWidth="1"/>
    <col min="15804" max="15804" width="12.33203125" style="1" bestFit="1" customWidth="1"/>
    <col min="15805" max="15805" width="12.88671875" style="1" customWidth="1"/>
    <col min="15806" max="15806" width="14" style="1" customWidth="1"/>
    <col min="15807" max="15807" width="13.33203125" style="1" customWidth="1"/>
    <col min="15808" max="15808" width="13.44140625" style="1" customWidth="1"/>
    <col min="15809" max="15809" width="12.44140625" style="1" customWidth="1"/>
    <col min="15810" max="15810" width="12.109375" style="1" customWidth="1"/>
    <col min="15811" max="15811" width="13.33203125" style="1" customWidth="1"/>
    <col min="15812" max="15812" width="12.33203125" style="1" bestFit="1" customWidth="1"/>
    <col min="15813" max="15813" width="13.5546875" style="1" customWidth="1"/>
    <col min="15814" max="15814" width="13.44140625" style="1" bestFit="1" customWidth="1"/>
    <col min="15815" max="15816" width="12.33203125" style="1" bestFit="1" customWidth="1"/>
    <col min="15817" max="15820" width="13.44140625" style="1" bestFit="1" customWidth="1"/>
    <col min="15821" max="15821" width="15.44140625" style="1" customWidth="1"/>
    <col min="15822" max="15822" width="14.6640625" style="1" customWidth="1"/>
    <col min="15823" max="15823" width="15.109375" style="1" customWidth="1"/>
    <col min="15824" max="15824" width="15" style="1" customWidth="1"/>
    <col min="15825" max="15825" width="14.109375" style="1" customWidth="1"/>
    <col min="15826" max="15826" width="15.44140625" style="1" customWidth="1"/>
    <col min="15827" max="15827" width="17.44140625" style="1" customWidth="1"/>
    <col min="15828" max="15828" width="16.33203125" style="1" customWidth="1"/>
    <col min="15829" max="15831" width="15.5546875" style="1" customWidth="1"/>
    <col min="15832" max="15834" width="13.44140625" style="1" bestFit="1" customWidth="1"/>
    <col min="15835" max="15835" width="15.109375" style="1" customWidth="1"/>
    <col min="15836" max="15836" width="14.109375" style="1" customWidth="1"/>
    <col min="15837" max="15837" width="14.33203125" style="1" customWidth="1"/>
    <col min="15838" max="15838" width="14.88671875" style="1" customWidth="1"/>
    <col min="15839" max="15839" width="14.5546875" style="1" customWidth="1"/>
    <col min="15840" max="15840" width="16.44140625" style="1" customWidth="1"/>
    <col min="15841" max="15841" width="16.33203125" style="1" customWidth="1"/>
    <col min="15842" max="15842" width="15.88671875" style="1" customWidth="1"/>
    <col min="15843" max="15843" width="16.33203125" style="1" customWidth="1"/>
    <col min="15844" max="15844" width="17" style="1" customWidth="1"/>
    <col min="15845" max="15845" width="16.33203125" style="1" customWidth="1"/>
    <col min="15846" max="15846" width="15.109375" style="1" customWidth="1"/>
    <col min="15847" max="15847" width="14.88671875" style="1" customWidth="1"/>
    <col min="15848" max="15849" width="13.6640625" style="1" customWidth="1"/>
    <col min="15850" max="15850" width="14.109375" style="1" customWidth="1"/>
    <col min="15851" max="15851" width="15.33203125" style="1" customWidth="1"/>
    <col min="15852" max="15853" width="15.5546875" style="1" customWidth="1"/>
    <col min="15854" max="15854" width="17.5546875" style="1" customWidth="1"/>
    <col min="15855" max="15855" width="17.88671875" style="1" customWidth="1"/>
    <col min="15856" max="15856" width="17.33203125" style="1" customWidth="1"/>
    <col min="15857" max="15859" width="13.44140625" style="1" bestFit="1" customWidth="1"/>
    <col min="15860" max="15860" width="13.44140625" style="1" customWidth="1"/>
    <col min="15861" max="15862" width="13.88671875" style="1" customWidth="1"/>
    <col min="15863" max="15865" width="13.44140625" style="1" bestFit="1" customWidth="1"/>
    <col min="15866" max="15866" width="13" style="1" customWidth="1"/>
    <col min="15867" max="15867" width="13.33203125" style="1" customWidth="1"/>
    <col min="15868" max="15868" width="14.88671875" style="1" customWidth="1"/>
    <col min="15869" max="15871" width="13.44140625" style="1"/>
    <col min="15872" max="15872" width="55" style="1" bestFit="1" customWidth="1"/>
    <col min="15873" max="15877" width="10.88671875" style="1" bestFit="1" customWidth="1"/>
    <col min="15878" max="15896" width="12.33203125" style="1" bestFit="1" customWidth="1"/>
    <col min="15897" max="15898" width="10.88671875" style="1" bestFit="1" customWidth="1"/>
    <col min="15899" max="15899" width="12.33203125" style="1" bestFit="1" customWidth="1"/>
    <col min="15900" max="15900" width="10.88671875" style="1" bestFit="1" customWidth="1"/>
    <col min="15901" max="15901" width="12.33203125" style="1" customWidth="1"/>
    <col min="15902" max="15902" width="12.33203125" style="1" bestFit="1" customWidth="1"/>
    <col min="15903" max="15903" width="10.88671875" style="1" bestFit="1" customWidth="1"/>
    <col min="15904" max="15904" width="12.33203125" style="1" bestFit="1" customWidth="1"/>
    <col min="15905" max="15923" width="10.88671875" style="1" bestFit="1" customWidth="1"/>
    <col min="15924" max="15940" width="12.33203125" style="1" bestFit="1" customWidth="1"/>
    <col min="15941" max="15942" width="10.88671875" style="1" bestFit="1" customWidth="1"/>
    <col min="15943" max="15943" width="12.33203125" style="1" bestFit="1" customWidth="1"/>
    <col min="15944" max="15948" width="10.88671875" style="1" bestFit="1" customWidth="1"/>
    <col min="15949" max="15956" width="12.33203125" style="1" bestFit="1" customWidth="1"/>
    <col min="15957" max="15957" width="10.88671875" style="1" bestFit="1" customWidth="1"/>
    <col min="15958" max="15959" width="12.33203125" style="1" bestFit="1" customWidth="1"/>
    <col min="15960" max="15960" width="10.88671875" style="1" bestFit="1" customWidth="1"/>
    <col min="15961" max="15963" width="12.33203125" style="1" bestFit="1" customWidth="1"/>
    <col min="15964" max="15965" width="10.88671875" style="1" customWidth="1"/>
    <col min="15966" max="15966" width="10.88671875" style="1" bestFit="1" customWidth="1"/>
    <col min="15967" max="15967" width="10.88671875" style="1" customWidth="1"/>
    <col min="15968" max="15975" width="10.88671875" style="1" bestFit="1" customWidth="1"/>
    <col min="15976" max="15976" width="12.33203125" style="1" bestFit="1" customWidth="1"/>
    <col min="15977" max="15977" width="10.88671875" style="1" bestFit="1" customWidth="1"/>
    <col min="15978" max="15993" width="12.33203125" style="1" bestFit="1" customWidth="1"/>
    <col min="15994" max="15994" width="10.88671875" style="1" bestFit="1" customWidth="1"/>
    <col min="15995" max="15997" width="12.33203125" style="1" bestFit="1" customWidth="1"/>
    <col min="15998" max="15998" width="13.44140625" style="1" bestFit="1" customWidth="1"/>
    <col min="15999" max="16000" width="12.33203125" style="1" bestFit="1" customWidth="1"/>
    <col min="16001" max="16002" width="13.44140625" style="1" bestFit="1" customWidth="1"/>
    <col min="16003" max="16018" width="12.33203125" style="1" bestFit="1" customWidth="1"/>
    <col min="16019" max="16019" width="13.44140625" style="1" bestFit="1" customWidth="1"/>
    <col min="16020" max="16020" width="12.33203125" style="1" bestFit="1" customWidth="1"/>
    <col min="16021" max="16021" width="13.44140625" style="1" bestFit="1" customWidth="1"/>
    <col min="16022" max="16023" width="12.33203125" style="1" bestFit="1" customWidth="1"/>
    <col min="16024" max="16027" width="13.44140625" style="1" bestFit="1" customWidth="1"/>
    <col min="16028" max="16030" width="12.33203125" style="1" bestFit="1" customWidth="1"/>
    <col min="16031" max="16031" width="13.44140625" style="1" bestFit="1" customWidth="1"/>
    <col min="16032" max="16034" width="12.33203125" style="1" bestFit="1" customWidth="1"/>
    <col min="16035" max="16037" width="13.5546875" style="1" bestFit="1" customWidth="1"/>
    <col min="16038" max="16039" width="13.44140625" style="1" bestFit="1" customWidth="1"/>
    <col min="16040" max="16040" width="13.5546875" style="1" bestFit="1" customWidth="1"/>
    <col min="16041" max="16042" width="13.44140625" style="1" bestFit="1" customWidth="1"/>
    <col min="16043" max="16044" width="12.33203125" style="1" bestFit="1" customWidth="1"/>
    <col min="16045" max="16045" width="13.44140625" style="1" bestFit="1" customWidth="1"/>
    <col min="16046" max="16049" width="12.33203125" style="1" bestFit="1" customWidth="1"/>
    <col min="16050" max="16050" width="14.33203125" style="1" customWidth="1"/>
    <col min="16051" max="16051" width="13.88671875" style="1" customWidth="1"/>
    <col min="16052" max="16052" width="13.33203125" style="1" customWidth="1"/>
    <col min="16053" max="16055" width="14.5546875" style="1" customWidth="1"/>
    <col min="16056" max="16056" width="17.33203125" style="1" customWidth="1"/>
    <col min="16057" max="16057" width="14.5546875" style="1" customWidth="1"/>
    <col min="16058" max="16058" width="15.5546875" style="1" customWidth="1"/>
    <col min="16059" max="16059" width="13.44140625" style="1" bestFit="1" customWidth="1"/>
    <col min="16060" max="16060" width="12.33203125" style="1" bestFit="1" customWidth="1"/>
    <col min="16061" max="16061" width="12.88671875" style="1" customWidth="1"/>
    <col min="16062" max="16062" width="14" style="1" customWidth="1"/>
    <col min="16063" max="16063" width="13.33203125" style="1" customWidth="1"/>
    <col min="16064" max="16064" width="13.44140625" style="1" customWidth="1"/>
    <col min="16065" max="16065" width="12.44140625" style="1" customWidth="1"/>
    <col min="16066" max="16066" width="12.109375" style="1" customWidth="1"/>
    <col min="16067" max="16067" width="13.33203125" style="1" customWidth="1"/>
    <col min="16068" max="16068" width="12.33203125" style="1" bestFit="1" customWidth="1"/>
    <col min="16069" max="16069" width="13.5546875" style="1" customWidth="1"/>
    <col min="16070" max="16070" width="13.44140625" style="1" bestFit="1" customWidth="1"/>
    <col min="16071" max="16072" width="12.33203125" style="1" bestFit="1" customWidth="1"/>
    <col min="16073" max="16076" width="13.44140625" style="1" bestFit="1" customWidth="1"/>
    <col min="16077" max="16077" width="15.44140625" style="1" customWidth="1"/>
    <col min="16078" max="16078" width="14.6640625" style="1" customWidth="1"/>
    <col min="16079" max="16079" width="15.109375" style="1" customWidth="1"/>
    <col min="16080" max="16080" width="15" style="1" customWidth="1"/>
    <col min="16081" max="16081" width="14.109375" style="1" customWidth="1"/>
    <col min="16082" max="16082" width="15.44140625" style="1" customWidth="1"/>
    <col min="16083" max="16083" width="17.44140625" style="1" customWidth="1"/>
    <col min="16084" max="16084" width="16.33203125" style="1" customWidth="1"/>
    <col min="16085" max="16087" width="15.5546875" style="1" customWidth="1"/>
    <col min="16088" max="16090" width="13.44140625" style="1" bestFit="1" customWidth="1"/>
    <col min="16091" max="16091" width="15.109375" style="1" customWidth="1"/>
    <col min="16092" max="16092" width="14.109375" style="1" customWidth="1"/>
    <col min="16093" max="16093" width="14.33203125" style="1" customWidth="1"/>
    <col min="16094" max="16094" width="14.88671875" style="1" customWidth="1"/>
    <col min="16095" max="16095" width="14.5546875" style="1" customWidth="1"/>
    <col min="16096" max="16096" width="16.44140625" style="1" customWidth="1"/>
    <col min="16097" max="16097" width="16.33203125" style="1" customWidth="1"/>
    <col min="16098" max="16098" width="15.88671875" style="1" customWidth="1"/>
    <col min="16099" max="16099" width="16.33203125" style="1" customWidth="1"/>
    <col min="16100" max="16100" width="17" style="1" customWidth="1"/>
    <col min="16101" max="16101" width="16.33203125" style="1" customWidth="1"/>
    <col min="16102" max="16102" width="15.109375" style="1" customWidth="1"/>
    <col min="16103" max="16103" width="14.88671875" style="1" customWidth="1"/>
    <col min="16104" max="16105" width="13.6640625" style="1" customWidth="1"/>
    <col min="16106" max="16106" width="14.109375" style="1" customWidth="1"/>
    <col min="16107" max="16107" width="15.33203125" style="1" customWidth="1"/>
    <col min="16108" max="16109" width="15.5546875" style="1" customWidth="1"/>
    <col min="16110" max="16110" width="17.5546875" style="1" customWidth="1"/>
    <col min="16111" max="16111" width="17.88671875" style="1" customWidth="1"/>
    <col min="16112" max="16112" width="17.33203125" style="1" customWidth="1"/>
    <col min="16113" max="16115" width="13.44140625" style="1" bestFit="1" customWidth="1"/>
    <col min="16116" max="16116" width="13.44140625" style="1" customWidth="1"/>
    <col min="16117" max="16118" width="13.88671875" style="1" customWidth="1"/>
    <col min="16119" max="16121" width="13.44140625" style="1" bestFit="1" customWidth="1"/>
    <col min="16122" max="16122" width="13" style="1" customWidth="1"/>
    <col min="16123" max="16123" width="13.33203125" style="1" customWidth="1"/>
    <col min="16124" max="16124" width="14.88671875" style="1" customWidth="1"/>
    <col min="16125" max="16127" width="13.44140625" style="1"/>
    <col min="16128" max="16128" width="55" style="1" bestFit="1" customWidth="1"/>
    <col min="16129" max="16133" width="10.88671875" style="1" bestFit="1" customWidth="1"/>
    <col min="16134" max="16152" width="12.33203125" style="1" bestFit="1" customWidth="1"/>
    <col min="16153" max="16154" width="10.88671875" style="1" bestFit="1" customWidth="1"/>
    <col min="16155" max="16155" width="12.33203125" style="1" bestFit="1" customWidth="1"/>
    <col min="16156" max="16156" width="10.88671875" style="1" bestFit="1" customWidth="1"/>
    <col min="16157" max="16157" width="12.33203125" style="1" customWidth="1"/>
    <col min="16158" max="16158" width="12.33203125" style="1" bestFit="1" customWidth="1"/>
    <col min="16159" max="16159" width="10.88671875" style="1" bestFit="1" customWidth="1"/>
    <col min="16160" max="16160" width="12.33203125" style="1" bestFit="1" customWidth="1"/>
    <col min="16161" max="16179" width="10.88671875" style="1" bestFit="1" customWidth="1"/>
    <col min="16180" max="16196" width="12.33203125" style="1" bestFit="1" customWidth="1"/>
    <col min="16197" max="16198" width="10.88671875" style="1" bestFit="1" customWidth="1"/>
    <col min="16199" max="16199" width="12.33203125" style="1" bestFit="1" customWidth="1"/>
    <col min="16200" max="16204" width="10.88671875" style="1" bestFit="1" customWidth="1"/>
    <col min="16205" max="16212" width="12.33203125" style="1" bestFit="1" customWidth="1"/>
    <col min="16213" max="16213" width="10.88671875" style="1" bestFit="1" customWidth="1"/>
    <col min="16214" max="16215" width="12.33203125" style="1" bestFit="1" customWidth="1"/>
    <col min="16216" max="16216" width="10.88671875" style="1" bestFit="1" customWidth="1"/>
    <col min="16217" max="16219" width="12.33203125" style="1" bestFit="1" customWidth="1"/>
    <col min="16220" max="16221" width="10.88671875" style="1" customWidth="1"/>
    <col min="16222" max="16222" width="10.88671875" style="1" bestFit="1" customWidth="1"/>
    <col min="16223" max="16223" width="10.88671875" style="1" customWidth="1"/>
    <col min="16224" max="16231" width="10.88671875" style="1" bestFit="1" customWidth="1"/>
    <col min="16232" max="16232" width="12.33203125" style="1" bestFit="1" customWidth="1"/>
    <col min="16233" max="16233" width="10.88671875" style="1" bestFit="1" customWidth="1"/>
    <col min="16234" max="16249" width="12.33203125" style="1" bestFit="1" customWidth="1"/>
    <col min="16250" max="16250" width="10.88671875" style="1" bestFit="1" customWidth="1"/>
    <col min="16251" max="16253" width="12.33203125" style="1" bestFit="1" customWidth="1"/>
    <col min="16254" max="16254" width="13.44140625" style="1" bestFit="1" customWidth="1"/>
    <col min="16255" max="16256" width="12.33203125" style="1" bestFit="1" customWidth="1"/>
    <col min="16257" max="16258" width="13.44140625" style="1" bestFit="1" customWidth="1"/>
    <col min="16259" max="16274" width="12.33203125" style="1" bestFit="1" customWidth="1"/>
    <col min="16275" max="16275" width="13.44140625" style="1" bestFit="1" customWidth="1"/>
    <col min="16276" max="16276" width="12.33203125" style="1" bestFit="1" customWidth="1"/>
    <col min="16277" max="16277" width="13.44140625" style="1" bestFit="1" customWidth="1"/>
    <col min="16278" max="16279" width="12.33203125" style="1" bestFit="1" customWidth="1"/>
    <col min="16280" max="16283" width="13.44140625" style="1" bestFit="1" customWidth="1"/>
    <col min="16284" max="16286" width="12.33203125" style="1" bestFit="1" customWidth="1"/>
    <col min="16287" max="16287" width="13.44140625" style="1" bestFit="1" customWidth="1"/>
    <col min="16288" max="16290" width="12.33203125" style="1" bestFit="1" customWidth="1"/>
    <col min="16291" max="16293" width="13.5546875" style="1" bestFit="1" customWidth="1"/>
    <col min="16294" max="16295" width="13.44140625" style="1" bestFit="1" customWidth="1"/>
    <col min="16296" max="16296" width="13.5546875" style="1" bestFit="1" customWidth="1"/>
    <col min="16297" max="16298" width="13.44140625" style="1" bestFit="1" customWidth="1"/>
    <col min="16299" max="16300" width="12.33203125" style="1" bestFit="1" customWidth="1"/>
    <col min="16301" max="16301" width="13.44140625" style="1" bestFit="1" customWidth="1"/>
    <col min="16302" max="16305" width="12.33203125" style="1" bestFit="1" customWidth="1"/>
    <col min="16306" max="16306" width="14.33203125" style="1" customWidth="1"/>
    <col min="16307" max="16307" width="13.88671875" style="1" customWidth="1"/>
    <col min="16308" max="16308" width="13.33203125" style="1" customWidth="1"/>
    <col min="16309" max="16311" width="14.5546875" style="1" customWidth="1"/>
    <col min="16312" max="16312" width="17.33203125" style="1" customWidth="1"/>
    <col min="16313" max="16313" width="14.5546875" style="1" customWidth="1"/>
    <col min="16314" max="16314" width="15.5546875" style="1" customWidth="1"/>
    <col min="16315" max="16315" width="13.44140625" style="1" bestFit="1" customWidth="1"/>
    <col min="16316" max="16316" width="12.33203125" style="1" bestFit="1" customWidth="1"/>
    <col min="16317" max="16317" width="12.88671875" style="1" customWidth="1"/>
    <col min="16318" max="16318" width="14" style="1" customWidth="1"/>
    <col min="16319" max="16319" width="13.33203125" style="1" customWidth="1"/>
    <col min="16320" max="16320" width="13.44140625" style="1" customWidth="1"/>
    <col min="16321" max="16321" width="12.44140625" style="1" customWidth="1"/>
    <col min="16322" max="16322" width="12.109375" style="1" customWidth="1"/>
    <col min="16323" max="16323" width="13.33203125" style="1" customWidth="1"/>
    <col min="16324" max="16324" width="12.33203125" style="1" bestFit="1" customWidth="1"/>
    <col min="16325" max="16325" width="13.5546875" style="1" customWidth="1"/>
    <col min="16326" max="16326" width="13.44140625" style="1" bestFit="1" customWidth="1"/>
    <col min="16327" max="16328" width="12.33203125" style="1" bestFit="1" customWidth="1"/>
    <col min="16329" max="16332" width="13.44140625" style="1" bestFit="1" customWidth="1"/>
    <col min="16333" max="16333" width="15.44140625" style="1" customWidth="1"/>
    <col min="16334" max="16334" width="14.6640625" style="1" customWidth="1"/>
    <col min="16335" max="16335" width="15.109375" style="1" customWidth="1"/>
    <col min="16336" max="16336" width="15" style="1" customWidth="1"/>
    <col min="16337" max="16337" width="14.109375" style="1" customWidth="1"/>
    <col min="16338" max="16338" width="15.44140625" style="1" customWidth="1"/>
    <col min="16339" max="16339" width="17.44140625" style="1" customWidth="1"/>
    <col min="16340" max="16340" width="16.33203125" style="1" customWidth="1"/>
    <col min="16341" max="16343" width="15.5546875" style="1" customWidth="1"/>
    <col min="16344" max="16346" width="13.44140625" style="1" bestFit="1" customWidth="1"/>
    <col min="16347" max="16347" width="15.109375" style="1" customWidth="1"/>
    <col min="16348" max="16348" width="14.109375" style="1" customWidth="1"/>
    <col min="16349" max="16349" width="14.33203125" style="1" customWidth="1"/>
    <col min="16350" max="16350" width="14.88671875" style="1" customWidth="1"/>
    <col min="16351" max="16351" width="14.5546875" style="1" customWidth="1"/>
    <col min="16352" max="16352" width="16.44140625" style="1" customWidth="1"/>
    <col min="16353" max="16353" width="16.33203125" style="1" customWidth="1"/>
    <col min="16354" max="16354" width="15.88671875" style="1" customWidth="1"/>
    <col min="16355" max="16355" width="16.33203125" style="1" customWidth="1"/>
    <col min="16356" max="16356" width="17" style="1" customWidth="1"/>
    <col min="16357" max="16357" width="16.33203125" style="1" customWidth="1"/>
    <col min="16358" max="16358" width="15.109375" style="1" customWidth="1"/>
    <col min="16359" max="16359" width="14.88671875" style="1" customWidth="1"/>
    <col min="16360" max="16361" width="13.6640625" style="1" customWidth="1"/>
    <col min="16362" max="16362" width="14.109375" style="1" customWidth="1"/>
    <col min="16363" max="16363" width="15.33203125" style="1" customWidth="1"/>
    <col min="16364" max="16365" width="15.5546875" style="1" customWidth="1"/>
    <col min="16366" max="16366" width="17.5546875" style="1" customWidth="1"/>
    <col min="16367" max="16367" width="17.88671875" style="1" customWidth="1"/>
    <col min="16368" max="16368" width="17.33203125" style="1" customWidth="1"/>
    <col min="16369" max="16371" width="13.44140625" style="1" bestFit="1" customWidth="1"/>
    <col min="16372" max="16372" width="13.44140625" style="1" customWidth="1"/>
    <col min="16373" max="16374" width="13.88671875" style="1" customWidth="1"/>
    <col min="16375" max="16377" width="13.44140625" style="1" bestFit="1" customWidth="1"/>
    <col min="16378" max="16378" width="13" style="1" customWidth="1"/>
    <col min="16379" max="16379" width="13.33203125" style="1" customWidth="1"/>
    <col min="16380" max="16380" width="14.88671875" style="1" customWidth="1"/>
    <col min="16381" max="16384" width="13.44140625" style="1"/>
  </cols>
  <sheetData>
    <row r="1" spans="1:397" x14ac:dyDescent="0.2">
      <c r="FH1" s="29"/>
      <c r="FI1" s="29"/>
      <c r="FJ1" s="29"/>
      <c r="FM1" s="30"/>
    </row>
    <row r="2" spans="1:397" s="31" customFormat="1" ht="23.25" customHeight="1" x14ac:dyDescent="0.3">
      <c r="A2" s="194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</row>
    <row r="3" spans="1:397" ht="12" thickBot="1" x14ac:dyDescent="0.25"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4"/>
      <c r="FI3" s="34"/>
      <c r="FJ3" s="29"/>
      <c r="FM3" s="30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  <c r="GS3" s="33"/>
      <c r="GT3" s="33"/>
      <c r="GU3" s="33"/>
      <c r="GV3" s="33"/>
      <c r="GW3" s="33"/>
      <c r="GX3" s="33"/>
      <c r="GY3" s="33"/>
      <c r="GZ3" s="33"/>
      <c r="HA3" s="33"/>
      <c r="HB3" s="33"/>
      <c r="HC3" s="33"/>
      <c r="HD3" s="33"/>
      <c r="HE3" s="33"/>
      <c r="HF3" s="33"/>
      <c r="HG3" s="33"/>
      <c r="HH3" s="33"/>
      <c r="HI3" s="33"/>
      <c r="HJ3" s="33"/>
      <c r="HK3" s="33"/>
      <c r="HL3" s="33"/>
      <c r="HM3" s="33"/>
      <c r="HN3" s="33"/>
      <c r="HO3" s="33"/>
      <c r="HP3" s="33"/>
      <c r="HQ3" s="33"/>
      <c r="HR3" s="33"/>
      <c r="HS3" s="33"/>
      <c r="HT3" s="33"/>
      <c r="HU3" s="33"/>
      <c r="HV3" s="33"/>
      <c r="HW3" s="33"/>
      <c r="HX3" s="33"/>
      <c r="HY3" s="33"/>
      <c r="HZ3" s="33"/>
      <c r="IA3" s="33"/>
      <c r="IB3" s="33"/>
      <c r="IC3" s="33"/>
    </row>
    <row r="4" spans="1:397" s="39" customFormat="1" ht="12" customHeight="1" x14ac:dyDescent="0.25">
      <c r="A4" s="35"/>
      <c r="B4" s="215">
        <v>34000</v>
      </c>
      <c r="C4" s="215">
        <v>34028</v>
      </c>
      <c r="D4" s="215">
        <v>34059</v>
      </c>
      <c r="E4" s="215">
        <v>34089</v>
      </c>
      <c r="F4" s="215">
        <v>34120</v>
      </c>
      <c r="G4" s="215">
        <v>34150</v>
      </c>
      <c r="H4" s="215">
        <v>34181</v>
      </c>
      <c r="I4" s="215">
        <v>34212</v>
      </c>
      <c r="J4" s="215">
        <v>34242</v>
      </c>
      <c r="K4" s="215">
        <v>34273</v>
      </c>
      <c r="L4" s="215">
        <v>34303</v>
      </c>
      <c r="M4" s="215">
        <v>34334</v>
      </c>
      <c r="N4" s="215">
        <v>34365</v>
      </c>
      <c r="O4" s="215">
        <v>34393</v>
      </c>
      <c r="P4" s="215">
        <v>34424</v>
      </c>
      <c r="Q4" s="215">
        <v>34453</v>
      </c>
      <c r="R4" s="215">
        <v>34485</v>
      </c>
      <c r="S4" s="215">
        <v>34515</v>
      </c>
      <c r="T4" s="215">
        <v>34544</v>
      </c>
      <c r="U4" s="215">
        <v>34577</v>
      </c>
      <c r="V4" s="215">
        <v>34607</v>
      </c>
      <c r="W4" s="215">
        <v>34638</v>
      </c>
      <c r="X4" s="215">
        <v>34668</v>
      </c>
      <c r="Y4" s="215">
        <v>34698</v>
      </c>
      <c r="Z4" s="215">
        <v>34730</v>
      </c>
      <c r="AA4" s="215">
        <v>34758</v>
      </c>
      <c r="AB4" s="215">
        <v>34789</v>
      </c>
      <c r="AC4" s="215">
        <v>34817</v>
      </c>
      <c r="AD4" s="215">
        <v>34850</v>
      </c>
      <c r="AE4" s="215">
        <v>34880</v>
      </c>
      <c r="AF4" s="215">
        <v>34911</v>
      </c>
      <c r="AG4" s="215">
        <v>34942</v>
      </c>
      <c r="AH4" s="215">
        <v>34971</v>
      </c>
      <c r="AI4" s="215">
        <v>35003</v>
      </c>
      <c r="AJ4" s="215">
        <v>35033</v>
      </c>
      <c r="AK4" s="215">
        <v>35062</v>
      </c>
      <c r="AL4" s="215">
        <v>35095</v>
      </c>
      <c r="AM4" s="215">
        <v>35124</v>
      </c>
      <c r="AN4" s="215">
        <v>35153</v>
      </c>
      <c r="AO4" s="215">
        <v>35185</v>
      </c>
      <c r="AP4" s="215">
        <v>35215</v>
      </c>
      <c r="AQ4" s="215">
        <v>35244</v>
      </c>
      <c r="AR4" s="215">
        <v>35277</v>
      </c>
      <c r="AS4" s="215">
        <v>35307</v>
      </c>
      <c r="AT4" s="215">
        <v>35338</v>
      </c>
      <c r="AU4" s="215">
        <v>35369</v>
      </c>
      <c r="AV4" s="215">
        <v>35398</v>
      </c>
      <c r="AW4" s="215">
        <v>35430</v>
      </c>
      <c r="AX4" s="215">
        <v>35461</v>
      </c>
      <c r="AY4" s="215">
        <v>35489</v>
      </c>
      <c r="AZ4" s="215">
        <v>35520</v>
      </c>
      <c r="BA4" s="215">
        <v>35550</v>
      </c>
      <c r="BB4" s="215">
        <v>35580</v>
      </c>
      <c r="BC4" s="215">
        <v>35611</v>
      </c>
      <c r="BD4" s="215">
        <v>35642</v>
      </c>
      <c r="BE4" s="215">
        <v>35671</v>
      </c>
      <c r="BF4" s="215">
        <v>35703</v>
      </c>
      <c r="BG4" s="215">
        <v>35734</v>
      </c>
      <c r="BH4" s="215">
        <v>35762</v>
      </c>
      <c r="BI4" s="215">
        <v>35795</v>
      </c>
      <c r="BJ4" s="215">
        <v>35825</v>
      </c>
      <c r="BK4" s="215">
        <v>35853</v>
      </c>
      <c r="BL4" s="215">
        <v>35885</v>
      </c>
      <c r="BM4" s="215">
        <v>35915</v>
      </c>
      <c r="BN4" s="215">
        <v>35944</v>
      </c>
      <c r="BO4" s="215">
        <v>35976</v>
      </c>
      <c r="BP4" s="215">
        <v>36007</v>
      </c>
      <c r="BQ4" s="215">
        <v>36038</v>
      </c>
      <c r="BR4" s="215">
        <v>36068</v>
      </c>
      <c r="BS4" s="215">
        <v>36098</v>
      </c>
      <c r="BT4" s="215">
        <v>36129</v>
      </c>
      <c r="BU4" s="215">
        <v>36160</v>
      </c>
      <c r="BV4" s="215">
        <v>36189</v>
      </c>
      <c r="BW4" s="215">
        <v>36217</v>
      </c>
      <c r="BX4" s="215">
        <v>36249</v>
      </c>
      <c r="BY4" s="215">
        <v>36278</v>
      </c>
      <c r="BZ4" s="215">
        <v>36308</v>
      </c>
      <c r="CA4" s="215">
        <v>36341</v>
      </c>
      <c r="CB4" s="215">
        <v>36371</v>
      </c>
      <c r="CC4" s="216">
        <v>36403</v>
      </c>
      <c r="CD4" s="216">
        <v>36433</v>
      </c>
      <c r="CE4" s="216">
        <v>36464</v>
      </c>
      <c r="CF4" s="216">
        <v>36494</v>
      </c>
      <c r="CG4" s="216">
        <v>36525</v>
      </c>
      <c r="CH4" s="216">
        <v>36556</v>
      </c>
      <c r="CI4" s="216">
        <v>36585</v>
      </c>
      <c r="CJ4" s="216">
        <v>36616</v>
      </c>
      <c r="CK4" s="216">
        <v>36646</v>
      </c>
      <c r="CL4" s="216">
        <v>36677</v>
      </c>
      <c r="CM4" s="216">
        <v>36707</v>
      </c>
      <c r="CN4" s="216">
        <v>36738</v>
      </c>
      <c r="CO4" s="216">
        <v>36769</v>
      </c>
      <c r="CP4" s="216">
        <v>36799</v>
      </c>
      <c r="CQ4" s="216">
        <v>36830</v>
      </c>
      <c r="CR4" s="215">
        <v>36860</v>
      </c>
      <c r="CS4" s="216">
        <v>36891</v>
      </c>
      <c r="CT4" s="216">
        <v>36922</v>
      </c>
      <c r="CU4" s="216">
        <v>36950</v>
      </c>
      <c r="CV4" s="216">
        <v>36981</v>
      </c>
      <c r="CW4" s="216">
        <v>37011</v>
      </c>
      <c r="CX4" s="216">
        <v>37042</v>
      </c>
      <c r="CY4" s="215">
        <v>37072</v>
      </c>
      <c r="CZ4" s="216">
        <v>37103</v>
      </c>
      <c r="DA4" s="215">
        <v>37134</v>
      </c>
      <c r="DB4" s="216">
        <v>37164</v>
      </c>
      <c r="DC4" s="215">
        <v>37195</v>
      </c>
      <c r="DD4" s="216">
        <v>37225</v>
      </c>
      <c r="DE4" s="215">
        <v>37256</v>
      </c>
      <c r="DF4" s="216">
        <v>37287</v>
      </c>
      <c r="DG4" s="216">
        <v>37315</v>
      </c>
      <c r="DH4" s="216">
        <v>37346</v>
      </c>
      <c r="DI4" s="216">
        <v>37376</v>
      </c>
      <c r="DJ4" s="216">
        <v>37407</v>
      </c>
      <c r="DK4" s="216">
        <v>37437</v>
      </c>
      <c r="DL4" s="216">
        <v>37468</v>
      </c>
      <c r="DM4" s="216">
        <v>37499</v>
      </c>
      <c r="DN4" s="216">
        <v>37529</v>
      </c>
      <c r="DO4" s="215">
        <v>37560</v>
      </c>
      <c r="DP4" s="216">
        <v>37590</v>
      </c>
      <c r="DQ4" s="216">
        <v>37621</v>
      </c>
      <c r="DR4" s="216">
        <v>37624</v>
      </c>
      <c r="DS4" s="216">
        <v>37655</v>
      </c>
      <c r="DT4" s="216">
        <v>37683</v>
      </c>
      <c r="DU4" s="216">
        <v>37714</v>
      </c>
      <c r="DV4" s="216">
        <v>37744</v>
      </c>
      <c r="DW4" s="216">
        <v>37775</v>
      </c>
      <c r="DX4" s="216">
        <v>37805</v>
      </c>
      <c r="DY4" s="216">
        <v>37836</v>
      </c>
      <c r="DZ4" s="216">
        <v>37867</v>
      </c>
      <c r="EA4" s="216">
        <v>37897</v>
      </c>
      <c r="EB4" s="215">
        <v>37928</v>
      </c>
      <c r="EC4" s="215">
        <v>37958</v>
      </c>
      <c r="ED4" s="215">
        <v>37989</v>
      </c>
      <c r="EE4" s="216">
        <v>38020</v>
      </c>
      <c r="EF4" s="215">
        <v>38049</v>
      </c>
      <c r="EG4" s="216">
        <v>38080</v>
      </c>
      <c r="EH4" s="215">
        <v>38110</v>
      </c>
      <c r="EI4" s="216">
        <v>38141</v>
      </c>
      <c r="EJ4" s="215">
        <v>38171</v>
      </c>
      <c r="EK4" s="216">
        <v>38202</v>
      </c>
      <c r="EL4" s="215">
        <v>38233</v>
      </c>
      <c r="EM4" s="216">
        <v>38263</v>
      </c>
      <c r="EN4" s="215">
        <v>38294</v>
      </c>
      <c r="EO4" s="216">
        <v>38324</v>
      </c>
      <c r="EP4" s="215">
        <v>38355</v>
      </c>
      <c r="EQ4" s="216">
        <v>38386</v>
      </c>
      <c r="ER4" s="215">
        <v>38414</v>
      </c>
      <c r="ES4" s="216">
        <v>38445</v>
      </c>
      <c r="ET4" s="216">
        <v>38475</v>
      </c>
      <c r="EU4" s="216">
        <v>38506</v>
      </c>
      <c r="EV4" s="216">
        <v>38536</v>
      </c>
      <c r="EW4" s="216">
        <v>38567</v>
      </c>
      <c r="EX4" s="216">
        <v>38598</v>
      </c>
      <c r="EY4" s="216">
        <v>38628</v>
      </c>
      <c r="EZ4" s="216">
        <v>38659</v>
      </c>
      <c r="FA4" s="216">
        <v>38689</v>
      </c>
      <c r="FB4" s="216">
        <v>38720</v>
      </c>
      <c r="FC4" s="216">
        <v>38751</v>
      </c>
      <c r="FD4" s="216">
        <v>38779</v>
      </c>
      <c r="FE4" s="216">
        <v>38810</v>
      </c>
      <c r="FF4" s="216">
        <v>38840</v>
      </c>
      <c r="FG4" s="216">
        <v>38871</v>
      </c>
      <c r="FH4" s="216">
        <v>38901</v>
      </c>
      <c r="FI4" s="216">
        <v>38932</v>
      </c>
      <c r="FJ4" s="215">
        <v>38963</v>
      </c>
      <c r="FK4" s="215">
        <v>38993</v>
      </c>
      <c r="FL4" s="215">
        <v>39024</v>
      </c>
      <c r="FM4" s="215">
        <v>39054</v>
      </c>
      <c r="FN4" s="215">
        <v>39085</v>
      </c>
      <c r="FO4" s="215">
        <v>39116</v>
      </c>
      <c r="FP4" s="215">
        <v>39144</v>
      </c>
      <c r="FQ4" s="215">
        <v>39175</v>
      </c>
      <c r="FR4" s="215">
        <v>39205</v>
      </c>
      <c r="FS4" s="215">
        <v>39236</v>
      </c>
      <c r="FT4" s="215">
        <v>39266</v>
      </c>
      <c r="FU4" s="216">
        <v>39297</v>
      </c>
      <c r="FV4" s="216">
        <v>39328</v>
      </c>
      <c r="FW4" s="216">
        <v>39358</v>
      </c>
      <c r="FX4" s="216">
        <v>39389</v>
      </c>
      <c r="FY4" s="216">
        <v>39419</v>
      </c>
      <c r="FZ4" s="216">
        <v>39450</v>
      </c>
      <c r="GA4" s="216">
        <v>39481</v>
      </c>
      <c r="GB4" s="216">
        <v>39515</v>
      </c>
      <c r="GC4" s="216">
        <v>39541</v>
      </c>
      <c r="GD4" s="216">
        <v>39571</v>
      </c>
      <c r="GE4" s="216">
        <v>39602</v>
      </c>
      <c r="GF4" s="216">
        <v>39632</v>
      </c>
      <c r="GG4" s="216">
        <v>39663</v>
      </c>
      <c r="GH4" s="216">
        <v>39694</v>
      </c>
      <c r="GI4" s="216">
        <v>39724</v>
      </c>
      <c r="GJ4" s="216">
        <v>39755</v>
      </c>
      <c r="GK4" s="216">
        <v>39785</v>
      </c>
      <c r="GL4" s="216">
        <v>39816</v>
      </c>
      <c r="GM4" s="216">
        <v>39847</v>
      </c>
      <c r="GN4" s="215">
        <v>39875</v>
      </c>
      <c r="GO4" s="216">
        <v>39906</v>
      </c>
      <c r="GP4" s="215">
        <v>39936</v>
      </c>
      <c r="GQ4" s="216">
        <v>39967</v>
      </c>
      <c r="GR4" s="215">
        <v>39997</v>
      </c>
      <c r="GS4" s="216">
        <v>40028</v>
      </c>
      <c r="GT4" s="215">
        <v>40059</v>
      </c>
      <c r="GU4" s="216">
        <v>40089</v>
      </c>
      <c r="GV4" s="215">
        <v>40120</v>
      </c>
      <c r="GW4" s="216">
        <v>40150</v>
      </c>
      <c r="GX4" s="215">
        <v>40181</v>
      </c>
      <c r="GY4" s="216">
        <v>40212</v>
      </c>
      <c r="GZ4" s="215">
        <v>40240</v>
      </c>
      <c r="HA4" s="216">
        <v>40271</v>
      </c>
      <c r="HB4" s="215">
        <v>40301</v>
      </c>
      <c r="HC4" s="216">
        <v>40332</v>
      </c>
      <c r="HD4" s="215">
        <v>40362</v>
      </c>
      <c r="HE4" s="216">
        <v>40393</v>
      </c>
      <c r="HF4" s="215">
        <v>40424</v>
      </c>
      <c r="HG4" s="216">
        <v>40454</v>
      </c>
      <c r="HH4" s="215">
        <v>40485</v>
      </c>
      <c r="HI4" s="216">
        <v>40515</v>
      </c>
      <c r="HJ4" s="215">
        <v>40546</v>
      </c>
      <c r="HK4" s="216">
        <v>40577</v>
      </c>
      <c r="HL4" s="215">
        <v>40605</v>
      </c>
      <c r="HM4" s="216">
        <v>40636</v>
      </c>
      <c r="HN4" s="216">
        <v>40666</v>
      </c>
      <c r="HO4" s="216">
        <v>40697</v>
      </c>
      <c r="HP4" s="216">
        <v>40727</v>
      </c>
      <c r="HQ4" s="216">
        <v>40758</v>
      </c>
      <c r="HR4" s="216">
        <v>40789</v>
      </c>
      <c r="HS4" s="216">
        <v>40819</v>
      </c>
      <c r="HT4" s="216">
        <v>40850</v>
      </c>
      <c r="HU4" s="216">
        <v>40880</v>
      </c>
      <c r="HV4" s="215">
        <v>40911</v>
      </c>
      <c r="HW4" s="216">
        <v>40942</v>
      </c>
      <c r="HX4" s="215">
        <v>40971</v>
      </c>
      <c r="HY4" s="216">
        <v>41002</v>
      </c>
      <c r="HZ4" s="215">
        <v>41032</v>
      </c>
      <c r="IA4" s="216">
        <v>41063</v>
      </c>
      <c r="IB4" s="215">
        <v>41093</v>
      </c>
      <c r="IC4" s="215">
        <v>41124</v>
      </c>
      <c r="ID4" s="215">
        <v>41155</v>
      </c>
      <c r="IE4" s="215">
        <v>41185</v>
      </c>
      <c r="IF4" s="215">
        <v>41216</v>
      </c>
      <c r="IG4" s="215">
        <v>41246</v>
      </c>
      <c r="IH4" s="215">
        <v>41277</v>
      </c>
      <c r="II4" s="215">
        <v>41308</v>
      </c>
      <c r="IJ4" s="215">
        <v>41336</v>
      </c>
      <c r="IK4" s="215">
        <v>41367</v>
      </c>
      <c r="IL4" s="215">
        <v>41397</v>
      </c>
      <c r="IM4" s="215">
        <v>41428</v>
      </c>
      <c r="IN4" s="215">
        <v>41458</v>
      </c>
      <c r="IO4" s="215">
        <v>41489</v>
      </c>
      <c r="IP4" s="215">
        <v>41520</v>
      </c>
      <c r="IQ4" s="215">
        <v>41550</v>
      </c>
      <c r="IR4" s="215">
        <v>41581</v>
      </c>
      <c r="IS4" s="215">
        <v>41611</v>
      </c>
      <c r="IT4" s="215">
        <v>41642</v>
      </c>
      <c r="IU4" s="215">
        <v>41673</v>
      </c>
      <c r="IV4" s="215">
        <v>41701</v>
      </c>
      <c r="IW4" s="215">
        <v>41732</v>
      </c>
      <c r="IX4" s="215">
        <v>41762</v>
      </c>
      <c r="IY4" s="215">
        <v>41793</v>
      </c>
      <c r="IZ4" s="215">
        <v>41823</v>
      </c>
      <c r="JA4" s="215">
        <v>41854</v>
      </c>
      <c r="JB4" s="215">
        <v>41885</v>
      </c>
      <c r="JC4" s="215">
        <v>41915</v>
      </c>
      <c r="JD4" s="215">
        <v>41946</v>
      </c>
      <c r="JE4" s="215">
        <v>41976</v>
      </c>
      <c r="JF4" s="215">
        <v>42007</v>
      </c>
      <c r="JG4" s="215">
        <v>42038</v>
      </c>
      <c r="JH4" s="215">
        <v>42066</v>
      </c>
      <c r="JI4" s="215">
        <v>42097</v>
      </c>
      <c r="JJ4" s="215">
        <v>42127</v>
      </c>
      <c r="JK4" s="213">
        <v>42158</v>
      </c>
      <c r="JL4" s="213">
        <v>42188</v>
      </c>
      <c r="JM4" s="213">
        <v>42219</v>
      </c>
      <c r="JN4" s="213">
        <v>42250</v>
      </c>
      <c r="JO4" s="213">
        <v>42280</v>
      </c>
      <c r="JP4" s="213">
        <v>42311</v>
      </c>
      <c r="JQ4" s="213">
        <v>42341</v>
      </c>
      <c r="JR4" s="213">
        <v>42372</v>
      </c>
      <c r="JS4" s="213">
        <v>42403</v>
      </c>
      <c r="JT4" s="213">
        <v>42432</v>
      </c>
      <c r="JU4" s="213">
        <v>42463</v>
      </c>
      <c r="JV4" s="213">
        <v>42493</v>
      </c>
      <c r="JW4" s="220">
        <v>42524</v>
      </c>
      <c r="JX4" s="209">
        <v>42554</v>
      </c>
      <c r="JY4" s="209">
        <v>42585</v>
      </c>
      <c r="JZ4" s="209">
        <v>42616</v>
      </c>
      <c r="KA4" s="209">
        <v>42646</v>
      </c>
      <c r="KB4" s="209">
        <v>42677</v>
      </c>
      <c r="KC4" s="209">
        <v>42707</v>
      </c>
      <c r="KD4" s="209">
        <v>42738</v>
      </c>
      <c r="KE4" s="209">
        <v>42769</v>
      </c>
      <c r="KF4" s="209">
        <v>42797</v>
      </c>
      <c r="KG4" s="209">
        <v>42828</v>
      </c>
      <c r="KH4" s="209">
        <v>42858</v>
      </c>
      <c r="KI4" s="209">
        <v>42889</v>
      </c>
      <c r="KJ4" s="209">
        <v>42919</v>
      </c>
      <c r="KK4" s="209">
        <v>42950</v>
      </c>
      <c r="KL4" s="211">
        <v>42981</v>
      </c>
      <c r="KM4" s="207">
        <v>43011</v>
      </c>
      <c r="KN4" s="207">
        <v>43042</v>
      </c>
      <c r="KO4" s="207">
        <v>43072</v>
      </c>
      <c r="KP4" s="207">
        <v>43103</v>
      </c>
      <c r="KQ4" s="207">
        <v>43134</v>
      </c>
      <c r="KR4" s="207">
        <v>43162</v>
      </c>
      <c r="KS4" s="207">
        <v>43193</v>
      </c>
      <c r="KT4" s="207">
        <v>43223</v>
      </c>
      <c r="KU4" s="207">
        <v>43254</v>
      </c>
      <c r="KV4" s="207">
        <v>43284</v>
      </c>
      <c r="KW4" s="207">
        <v>43315</v>
      </c>
      <c r="KX4" s="207">
        <v>43346</v>
      </c>
      <c r="KY4" s="207">
        <v>43376</v>
      </c>
      <c r="KZ4" s="207">
        <v>43407</v>
      </c>
      <c r="LA4" s="208">
        <v>43437</v>
      </c>
      <c r="LB4" s="207">
        <v>43468</v>
      </c>
      <c r="LC4" s="207">
        <v>43499</v>
      </c>
      <c r="LD4" s="207">
        <v>43527</v>
      </c>
      <c r="LE4" s="207">
        <v>43558</v>
      </c>
      <c r="LF4" s="207">
        <v>43588</v>
      </c>
      <c r="LG4" s="207">
        <v>43619</v>
      </c>
      <c r="LH4" s="203">
        <v>43649</v>
      </c>
      <c r="LI4" s="203">
        <v>43680</v>
      </c>
      <c r="LJ4" s="203">
        <v>43711</v>
      </c>
      <c r="LK4" s="203">
        <v>43741</v>
      </c>
      <c r="LL4" s="203">
        <v>43772</v>
      </c>
      <c r="LM4" s="203">
        <v>43802</v>
      </c>
      <c r="LN4" s="203">
        <v>43833</v>
      </c>
      <c r="LO4" s="203">
        <v>43864</v>
      </c>
      <c r="LP4" s="203">
        <v>43893</v>
      </c>
      <c r="LQ4" s="203">
        <v>43924</v>
      </c>
      <c r="LR4" s="203">
        <v>43954</v>
      </c>
      <c r="LS4" s="203">
        <v>43985</v>
      </c>
      <c r="LT4" s="203">
        <v>44015</v>
      </c>
      <c r="LU4" s="203">
        <v>44046</v>
      </c>
      <c r="LV4" s="204">
        <v>44077</v>
      </c>
      <c r="LW4" s="207">
        <v>44107</v>
      </c>
      <c r="LX4" s="207">
        <v>44138</v>
      </c>
      <c r="LY4" s="207">
        <v>44168</v>
      </c>
      <c r="LZ4" s="207">
        <v>44199</v>
      </c>
      <c r="MA4" s="207">
        <v>44230</v>
      </c>
      <c r="MB4" s="207">
        <v>44258</v>
      </c>
      <c r="MC4" s="207">
        <v>44289</v>
      </c>
      <c r="MD4" s="207">
        <v>44319</v>
      </c>
      <c r="ME4" s="207">
        <v>44350</v>
      </c>
      <c r="MF4" s="203">
        <v>44380</v>
      </c>
      <c r="MG4" s="203">
        <v>44411</v>
      </c>
      <c r="MH4" s="203">
        <v>44442</v>
      </c>
      <c r="MI4" s="207">
        <v>44472</v>
      </c>
      <c r="MJ4" s="207">
        <v>44503</v>
      </c>
      <c r="MK4" s="207">
        <v>44533</v>
      </c>
      <c r="ML4" s="208">
        <v>44564</v>
      </c>
      <c r="MM4" s="199">
        <v>44595</v>
      </c>
      <c r="MN4" s="195">
        <v>44623</v>
      </c>
      <c r="MO4" s="207">
        <v>44654</v>
      </c>
      <c r="MP4" s="207">
        <v>44684</v>
      </c>
      <c r="MQ4" s="207">
        <v>44715</v>
      </c>
      <c r="MR4" s="199">
        <v>44745</v>
      </c>
      <c r="MS4" s="197">
        <v>44776</v>
      </c>
      <c r="MT4" s="197">
        <v>44807</v>
      </c>
      <c r="MU4" s="197">
        <v>44837</v>
      </c>
      <c r="MV4" s="197">
        <v>44868</v>
      </c>
      <c r="MW4" s="195">
        <v>44898</v>
      </c>
      <c r="MX4" s="207">
        <v>44929</v>
      </c>
      <c r="MY4" s="207">
        <v>44960</v>
      </c>
      <c r="MZ4" s="207">
        <v>44988</v>
      </c>
      <c r="NA4" s="203">
        <v>45019</v>
      </c>
      <c r="NB4" s="203">
        <v>45049</v>
      </c>
      <c r="NC4" s="204">
        <v>45080</v>
      </c>
      <c r="ND4" s="203">
        <v>45110</v>
      </c>
      <c r="NE4" s="203">
        <v>45141</v>
      </c>
      <c r="NF4" s="203">
        <v>45172</v>
      </c>
      <c r="NG4" s="204">
        <v>45202</v>
      </c>
      <c r="NH4" s="205">
        <v>45233</v>
      </c>
      <c r="NI4" s="206">
        <v>45263</v>
      </c>
      <c r="NJ4" s="203">
        <v>45294</v>
      </c>
      <c r="NK4" s="203">
        <v>45325</v>
      </c>
      <c r="NL4" s="203">
        <v>45354</v>
      </c>
      <c r="NM4" s="199">
        <v>45385</v>
      </c>
      <c r="NN4" s="197">
        <v>45415</v>
      </c>
      <c r="NO4" s="201">
        <v>45446</v>
      </c>
      <c r="NP4" s="197">
        <v>45476</v>
      </c>
      <c r="NQ4" s="197">
        <v>45507</v>
      </c>
      <c r="NR4" s="201">
        <v>45538</v>
      </c>
      <c r="NS4" s="197">
        <v>45568</v>
      </c>
      <c r="NT4" s="197">
        <v>45599</v>
      </c>
      <c r="NU4" s="195">
        <v>45629</v>
      </c>
      <c r="NV4" s="195">
        <v>45660</v>
      </c>
      <c r="NW4" s="195">
        <v>45691</v>
      </c>
      <c r="NX4" s="195">
        <v>45719</v>
      </c>
      <c r="NY4" s="195">
        <v>45750</v>
      </c>
      <c r="NZ4" s="195">
        <v>45780</v>
      </c>
      <c r="OA4" s="195">
        <v>45811</v>
      </c>
      <c r="OB4" s="195">
        <v>45841</v>
      </c>
      <c r="OC4" s="195">
        <v>45872</v>
      </c>
      <c r="OD4" s="195">
        <v>45903</v>
      </c>
      <c r="OE4" s="195">
        <v>45933</v>
      </c>
      <c r="OF4" s="195">
        <v>45964</v>
      </c>
      <c r="OG4" s="195">
        <v>45994</v>
      </c>
    </row>
    <row r="5" spans="1:397" s="39" customFormat="1" ht="12.6" thickBot="1" x14ac:dyDescent="0.3">
      <c r="A5" s="3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  <c r="CB5" s="216"/>
      <c r="CC5" s="216"/>
      <c r="CD5" s="216"/>
      <c r="CE5" s="216"/>
      <c r="CF5" s="216"/>
      <c r="CG5" s="216"/>
      <c r="CH5" s="216"/>
      <c r="CI5" s="216"/>
      <c r="CJ5" s="216"/>
      <c r="CK5" s="216"/>
      <c r="CL5" s="216"/>
      <c r="CM5" s="216"/>
      <c r="CN5" s="216"/>
      <c r="CO5" s="216"/>
      <c r="CP5" s="216"/>
      <c r="CQ5" s="216"/>
      <c r="CR5" s="216"/>
      <c r="CS5" s="216"/>
      <c r="CT5" s="216"/>
      <c r="CU5" s="216"/>
      <c r="CV5" s="216"/>
      <c r="CW5" s="216"/>
      <c r="CX5" s="216"/>
      <c r="CY5" s="216"/>
      <c r="CZ5" s="216"/>
      <c r="DA5" s="216"/>
      <c r="DB5" s="216"/>
      <c r="DC5" s="216"/>
      <c r="DD5" s="216"/>
      <c r="DE5" s="216"/>
      <c r="DF5" s="216"/>
      <c r="DG5" s="216"/>
      <c r="DH5" s="216"/>
      <c r="DI5" s="216"/>
      <c r="DJ5" s="216"/>
      <c r="DK5" s="216"/>
      <c r="DL5" s="216"/>
      <c r="DM5" s="216"/>
      <c r="DN5" s="216"/>
      <c r="DO5" s="216"/>
      <c r="DP5" s="216"/>
      <c r="DQ5" s="216"/>
      <c r="DR5" s="216"/>
      <c r="DS5" s="216"/>
      <c r="DT5" s="216"/>
      <c r="DU5" s="216"/>
      <c r="DV5" s="216"/>
      <c r="DW5" s="216"/>
      <c r="DX5" s="216"/>
      <c r="DY5" s="216"/>
      <c r="DZ5" s="216"/>
      <c r="EA5" s="216"/>
      <c r="EB5" s="216"/>
      <c r="EC5" s="216"/>
      <c r="ED5" s="216"/>
      <c r="EE5" s="216"/>
      <c r="EF5" s="216"/>
      <c r="EG5" s="216"/>
      <c r="EH5" s="216"/>
      <c r="EI5" s="216"/>
      <c r="EJ5" s="216"/>
      <c r="EK5" s="216"/>
      <c r="EL5" s="216"/>
      <c r="EM5" s="216"/>
      <c r="EN5" s="216"/>
      <c r="EO5" s="216"/>
      <c r="EP5" s="216"/>
      <c r="EQ5" s="216"/>
      <c r="ER5" s="216"/>
      <c r="ES5" s="216"/>
      <c r="ET5" s="216"/>
      <c r="EU5" s="216"/>
      <c r="EV5" s="216"/>
      <c r="EW5" s="216"/>
      <c r="EX5" s="216"/>
      <c r="EY5" s="216"/>
      <c r="EZ5" s="216"/>
      <c r="FA5" s="216"/>
      <c r="FB5" s="216"/>
      <c r="FC5" s="216"/>
      <c r="FD5" s="216"/>
      <c r="FE5" s="216"/>
      <c r="FF5" s="216"/>
      <c r="FG5" s="216"/>
      <c r="FH5" s="216"/>
      <c r="FI5" s="216"/>
      <c r="FJ5" s="216"/>
      <c r="FK5" s="217"/>
      <c r="FL5" s="217"/>
      <c r="FM5" s="217"/>
      <c r="FN5" s="217"/>
      <c r="FO5" s="217"/>
      <c r="FP5" s="217"/>
      <c r="FQ5" s="217"/>
      <c r="FR5" s="217"/>
      <c r="FS5" s="217"/>
      <c r="FT5" s="217"/>
      <c r="FU5" s="216"/>
      <c r="FV5" s="216"/>
      <c r="FW5" s="216"/>
      <c r="FX5" s="216"/>
      <c r="FY5" s="216"/>
      <c r="FZ5" s="216"/>
      <c r="GA5" s="216"/>
      <c r="GB5" s="216"/>
      <c r="GC5" s="216"/>
      <c r="GD5" s="216"/>
      <c r="GE5" s="216"/>
      <c r="GF5" s="216"/>
      <c r="GG5" s="216"/>
      <c r="GH5" s="216"/>
      <c r="GI5" s="216"/>
      <c r="GJ5" s="216"/>
      <c r="GK5" s="216"/>
      <c r="GL5" s="216"/>
      <c r="GM5" s="216"/>
      <c r="GN5" s="216"/>
      <c r="GO5" s="216"/>
      <c r="GP5" s="216"/>
      <c r="GQ5" s="216"/>
      <c r="GR5" s="216"/>
      <c r="GS5" s="216"/>
      <c r="GT5" s="216"/>
      <c r="GU5" s="216"/>
      <c r="GV5" s="216"/>
      <c r="GW5" s="216"/>
      <c r="GX5" s="216"/>
      <c r="GY5" s="216"/>
      <c r="GZ5" s="216"/>
      <c r="HA5" s="216"/>
      <c r="HB5" s="216"/>
      <c r="HC5" s="216"/>
      <c r="HD5" s="216"/>
      <c r="HE5" s="216"/>
      <c r="HF5" s="216"/>
      <c r="HG5" s="216"/>
      <c r="HH5" s="216"/>
      <c r="HI5" s="216"/>
      <c r="HJ5" s="216"/>
      <c r="HK5" s="216"/>
      <c r="HL5" s="216"/>
      <c r="HM5" s="216"/>
      <c r="HN5" s="216"/>
      <c r="HO5" s="216"/>
      <c r="HP5" s="216"/>
      <c r="HQ5" s="216"/>
      <c r="HR5" s="216"/>
      <c r="HS5" s="216"/>
      <c r="HT5" s="216"/>
      <c r="HU5" s="216"/>
      <c r="HV5" s="216"/>
      <c r="HW5" s="216"/>
      <c r="HX5" s="216"/>
      <c r="HY5" s="216"/>
      <c r="HZ5" s="216"/>
      <c r="IA5" s="216"/>
      <c r="IB5" s="216"/>
      <c r="IC5" s="216"/>
      <c r="ID5" s="216"/>
      <c r="IE5" s="216"/>
      <c r="IF5" s="216"/>
      <c r="IG5" s="216"/>
      <c r="IH5" s="216"/>
      <c r="II5" s="216"/>
      <c r="IJ5" s="216"/>
      <c r="IK5" s="216"/>
      <c r="IL5" s="216"/>
      <c r="IM5" s="216"/>
      <c r="IN5" s="216"/>
      <c r="IO5" s="216"/>
      <c r="IP5" s="216"/>
      <c r="IQ5" s="216"/>
      <c r="IR5" s="216"/>
      <c r="IS5" s="216"/>
      <c r="IT5" s="216"/>
      <c r="IU5" s="216"/>
      <c r="IV5" s="216"/>
      <c r="IW5" s="216"/>
      <c r="IX5" s="216"/>
      <c r="IY5" s="216"/>
      <c r="IZ5" s="216"/>
      <c r="JA5" s="216"/>
      <c r="JB5" s="216"/>
      <c r="JC5" s="216"/>
      <c r="JD5" s="216"/>
      <c r="JE5" s="216"/>
      <c r="JF5" s="216"/>
      <c r="JG5" s="216"/>
      <c r="JH5" s="216"/>
      <c r="JI5" s="216"/>
      <c r="JJ5" s="216"/>
      <c r="JK5" s="214"/>
      <c r="JL5" s="214"/>
      <c r="JM5" s="214"/>
      <c r="JN5" s="214"/>
      <c r="JO5" s="214"/>
      <c r="JP5" s="214"/>
      <c r="JQ5" s="214"/>
      <c r="JR5" s="214"/>
      <c r="JS5" s="214"/>
      <c r="JT5" s="214"/>
      <c r="JU5" s="214"/>
      <c r="JV5" s="214"/>
      <c r="JW5" s="206"/>
      <c r="JX5" s="210"/>
      <c r="JY5" s="210"/>
      <c r="JZ5" s="210"/>
      <c r="KA5" s="210"/>
      <c r="KB5" s="210"/>
      <c r="KC5" s="210"/>
      <c r="KD5" s="210"/>
      <c r="KE5" s="210"/>
      <c r="KF5" s="210"/>
      <c r="KG5" s="210"/>
      <c r="KH5" s="210"/>
      <c r="KI5" s="210"/>
      <c r="KJ5" s="210"/>
      <c r="KK5" s="210"/>
      <c r="KL5" s="212"/>
      <c r="KM5" s="203"/>
      <c r="KN5" s="203"/>
      <c r="KO5" s="203"/>
      <c r="KP5" s="203"/>
      <c r="KQ5" s="203"/>
      <c r="KR5" s="203"/>
      <c r="KS5" s="203"/>
      <c r="KT5" s="203"/>
      <c r="KU5" s="203"/>
      <c r="KV5" s="203"/>
      <c r="KW5" s="203"/>
      <c r="KX5" s="203"/>
      <c r="KY5" s="203"/>
      <c r="KZ5" s="203"/>
      <c r="LA5" s="204"/>
      <c r="LB5" s="203"/>
      <c r="LC5" s="203"/>
      <c r="LD5" s="203"/>
      <c r="LE5" s="203"/>
      <c r="LF5" s="203"/>
      <c r="LG5" s="203"/>
      <c r="LH5" s="203"/>
      <c r="LI5" s="203"/>
      <c r="LJ5" s="203"/>
      <c r="LK5" s="203"/>
      <c r="LL5" s="203"/>
      <c r="LM5" s="203"/>
      <c r="LN5" s="203"/>
      <c r="LO5" s="203"/>
      <c r="LP5" s="203"/>
      <c r="LQ5" s="203"/>
      <c r="LR5" s="203"/>
      <c r="LS5" s="203"/>
      <c r="LT5" s="203"/>
      <c r="LU5" s="203"/>
      <c r="LV5" s="204"/>
      <c r="LW5" s="203"/>
      <c r="LX5" s="203"/>
      <c r="LY5" s="203"/>
      <c r="LZ5" s="203"/>
      <c r="MA5" s="203"/>
      <c r="MB5" s="203"/>
      <c r="MC5" s="203"/>
      <c r="MD5" s="203"/>
      <c r="ME5" s="203"/>
      <c r="MF5" s="203"/>
      <c r="MG5" s="203"/>
      <c r="MH5" s="203"/>
      <c r="MI5" s="203"/>
      <c r="MJ5" s="203"/>
      <c r="MK5" s="203"/>
      <c r="ML5" s="204"/>
      <c r="MM5" s="200"/>
      <c r="MN5" s="196"/>
      <c r="MO5" s="203"/>
      <c r="MP5" s="203"/>
      <c r="MQ5" s="203"/>
      <c r="MR5" s="200"/>
      <c r="MS5" s="198"/>
      <c r="MT5" s="198"/>
      <c r="MU5" s="198"/>
      <c r="MV5" s="198"/>
      <c r="MW5" s="196"/>
      <c r="MX5" s="203"/>
      <c r="MY5" s="203"/>
      <c r="MZ5" s="203"/>
      <c r="NA5" s="203"/>
      <c r="NB5" s="203"/>
      <c r="NC5" s="204"/>
      <c r="ND5" s="203"/>
      <c r="NE5" s="203"/>
      <c r="NF5" s="203"/>
      <c r="NG5" s="204"/>
      <c r="NH5" s="205"/>
      <c r="NI5" s="206"/>
      <c r="NJ5" s="203"/>
      <c r="NK5" s="203"/>
      <c r="NL5" s="203"/>
      <c r="NM5" s="200"/>
      <c r="NN5" s="198"/>
      <c r="NO5" s="202"/>
      <c r="NP5" s="198"/>
      <c r="NQ5" s="198"/>
      <c r="NR5" s="202"/>
      <c r="NS5" s="198"/>
      <c r="NT5" s="198"/>
      <c r="NU5" s="196"/>
      <c r="NV5" s="196"/>
      <c r="NW5" s="196"/>
      <c r="NX5" s="196"/>
      <c r="NY5" s="196"/>
      <c r="NZ5" s="196"/>
      <c r="OA5" s="196"/>
      <c r="OB5" s="196"/>
      <c r="OC5" s="196"/>
      <c r="OD5" s="196"/>
      <c r="OE5" s="196"/>
      <c r="OF5" s="196"/>
      <c r="OG5" s="196"/>
    </row>
    <row r="6" spans="1:397" ht="12" x14ac:dyDescent="0.25">
      <c r="A6" s="25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9"/>
      <c r="CH6" s="10"/>
      <c r="CI6" s="10"/>
      <c r="CJ6" s="9"/>
      <c r="CK6" s="10"/>
      <c r="CL6" s="10"/>
      <c r="CM6" s="10"/>
      <c r="CN6" s="10"/>
      <c r="CO6" s="10"/>
      <c r="CP6" s="10"/>
      <c r="CQ6" s="11"/>
      <c r="CR6" s="11"/>
      <c r="CS6" s="12"/>
      <c r="CT6" s="10"/>
      <c r="CU6" s="10"/>
      <c r="CV6" s="9"/>
      <c r="CW6" s="10"/>
      <c r="CX6" s="10"/>
      <c r="CY6" s="10"/>
      <c r="CZ6" s="10"/>
      <c r="DA6" s="10"/>
      <c r="DB6" s="10"/>
      <c r="DC6" s="12"/>
      <c r="DD6" s="12"/>
      <c r="DE6" s="12"/>
      <c r="DF6" s="12"/>
      <c r="DG6" s="12"/>
      <c r="DH6" s="12"/>
      <c r="DI6" s="12"/>
      <c r="DJ6" s="12"/>
      <c r="DK6" s="13"/>
      <c r="DL6" s="13"/>
      <c r="DM6" s="13"/>
      <c r="DN6" s="13"/>
      <c r="DO6" s="13"/>
      <c r="DP6" s="13"/>
      <c r="DQ6" s="13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4"/>
      <c r="FI6" s="14"/>
      <c r="FJ6" s="14"/>
      <c r="FK6" s="10"/>
      <c r="FL6" s="10"/>
      <c r="FM6" s="12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51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79"/>
      <c r="KK6" s="79"/>
      <c r="KL6" s="86"/>
      <c r="KM6" s="92"/>
      <c r="KN6" s="92"/>
      <c r="KO6" s="92"/>
      <c r="KP6" s="92"/>
      <c r="KQ6" s="92"/>
      <c r="KR6" s="92"/>
      <c r="KS6" s="92"/>
      <c r="KT6" s="92"/>
      <c r="KU6" s="92"/>
      <c r="KV6" s="92"/>
      <c r="KW6" s="92"/>
      <c r="KX6" s="92"/>
      <c r="KZ6" s="103"/>
      <c r="LA6" s="104"/>
      <c r="LB6" s="92"/>
      <c r="LC6" s="92"/>
      <c r="LD6" s="92"/>
      <c r="LE6" s="92"/>
      <c r="LF6" s="92"/>
      <c r="LG6" s="92"/>
      <c r="LH6" s="92"/>
      <c r="LI6" s="92"/>
      <c r="LJ6" s="92"/>
      <c r="LK6" s="92"/>
      <c r="LL6" s="92"/>
      <c r="LM6" s="92"/>
      <c r="LN6" s="92"/>
      <c r="LO6" s="92"/>
      <c r="LP6" s="92"/>
      <c r="LQ6" s="218" t="s">
        <v>28</v>
      </c>
      <c r="LR6" s="92"/>
      <c r="LS6" s="92"/>
      <c r="LT6" s="110"/>
      <c r="LV6" s="119"/>
      <c r="LW6" s="92"/>
      <c r="LX6" s="92"/>
      <c r="LY6" s="92"/>
      <c r="LZ6" s="92"/>
      <c r="MA6" s="92"/>
      <c r="MB6" s="92"/>
      <c r="MC6" s="92"/>
      <c r="MD6" s="92"/>
      <c r="ME6" s="92"/>
      <c r="MF6" s="92"/>
      <c r="MG6" s="92"/>
      <c r="MH6" s="92"/>
      <c r="MI6" s="92"/>
      <c r="MJ6" s="92"/>
      <c r="MK6" s="92"/>
      <c r="MM6" s="92"/>
      <c r="MN6" s="139"/>
      <c r="MO6" s="92"/>
      <c r="MP6" s="92"/>
      <c r="MQ6" s="92"/>
      <c r="MR6" s="148"/>
      <c r="MS6" s="149"/>
      <c r="MT6" s="149"/>
      <c r="MU6" s="149"/>
      <c r="MV6" s="149"/>
      <c r="MW6" s="150"/>
      <c r="MX6" s="92"/>
      <c r="MY6" s="92"/>
      <c r="MZ6" s="92"/>
      <c r="NA6" s="92"/>
      <c r="NB6" s="92"/>
      <c r="NC6" s="106"/>
      <c r="ND6" s="92"/>
      <c r="NE6" s="92"/>
      <c r="NF6" s="92"/>
      <c r="NH6" s="177"/>
      <c r="NJ6" s="92"/>
      <c r="NK6" s="92"/>
      <c r="NL6" s="92"/>
      <c r="NM6" s="148"/>
      <c r="NN6" s="149"/>
      <c r="NO6" s="185"/>
      <c r="NP6" s="149"/>
      <c r="NQ6" s="149"/>
      <c r="NR6" s="185"/>
      <c r="NS6" s="149"/>
      <c r="NT6" s="149"/>
      <c r="NU6" s="150"/>
      <c r="OG6" s="139"/>
    </row>
    <row r="7" spans="1:397" s="2" customFormat="1" ht="15" customHeight="1" x14ac:dyDescent="0.25">
      <c r="A7" s="26" t="s">
        <v>1</v>
      </c>
      <c r="B7" s="9">
        <v>362815478</v>
      </c>
      <c r="C7" s="9">
        <v>306253479</v>
      </c>
      <c r="D7" s="9">
        <v>494343549</v>
      </c>
      <c r="E7" s="9">
        <v>366443070</v>
      </c>
      <c r="F7" s="9">
        <v>515711354</v>
      </c>
      <c r="G7" s="9">
        <v>1266061686</v>
      </c>
      <c r="H7" s="9">
        <v>2227014514</v>
      </c>
      <c r="I7" s="9">
        <v>2016141361</v>
      </c>
      <c r="J7" s="9">
        <v>1912551398</v>
      </c>
      <c r="K7" s="9">
        <v>1931176609</v>
      </c>
      <c r="L7" s="9">
        <v>3971463368</v>
      </c>
      <c r="M7" s="9">
        <v>3209381089</v>
      </c>
      <c r="N7" s="9">
        <v>4499872568</v>
      </c>
      <c r="O7" s="9">
        <v>5510333057</v>
      </c>
      <c r="P7" s="9">
        <v>5467949550</v>
      </c>
      <c r="Q7" s="9">
        <v>2106191713</v>
      </c>
      <c r="R7" s="9">
        <v>1583832190</v>
      </c>
      <c r="S7" s="9">
        <v>2334655915</v>
      </c>
      <c r="T7" s="9">
        <v>2082472274</v>
      </c>
      <c r="U7" s="9">
        <v>2223613570</v>
      </c>
      <c r="V7" s="9">
        <v>3959376431</v>
      </c>
      <c r="W7" s="9">
        <v>1678659250</v>
      </c>
      <c r="X7" s="9">
        <v>1580485112</v>
      </c>
      <c r="Y7" s="9">
        <v>1494752299</v>
      </c>
      <c r="Z7" s="9">
        <v>905688447</v>
      </c>
      <c r="AA7" s="9">
        <v>967855344</v>
      </c>
      <c r="AB7" s="9">
        <v>1607543254</v>
      </c>
      <c r="AC7" s="9">
        <v>702654462</v>
      </c>
      <c r="AD7" s="9">
        <v>1229726017</v>
      </c>
      <c r="AE7" s="9">
        <v>1197969612</v>
      </c>
      <c r="AF7" s="9">
        <v>843651857</v>
      </c>
      <c r="AG7" s="9">
        <v>1268506872</v>
      </c>
      <c r="AH7" s="9">
        <v>553152299</v>
      </c>
      <c r="AI7" s="9">
        <v>382484458</v>
      </c>
      <c r="AJ7" s="9">
        <v>789582265</v>
      </c>
      <c r="AK7" s="9">
        <v>799895873</v>
      </c>
      <c r="AL7" s="9">
        <v>877704537</v>
      </c>
      <c r="AM7" s="9">
        <v>908035813</v>
      </c>
      <c r="AN7" s="9">
        <v>940891069</v>
      </c>
      <c r="AO7" s="9">
        <v>463540161</v>
      </c>
      <c r="AP7" s="9">
        <v>300596271</v>
      </c>
      <c r="AQ7" s="9">
        <v>376806469</v>
      </c>
      <c r="AR7" s="9">
        <v>246658931</v>
      </c>
      <c r="AS7" s="9">
        <v>306318937</v>
      </c>
      <c r="AT7" s="9">
        <v>505873836</v>
      </c>
      <c r="AU7" s="9">
        <v>807498757</v>
      </c>
      <c r="AV7" s="9">
        <v>886480645</v>
      </c>
      <c r="AW7" s="9">
        <v>782282323</v>
      </c>
      <c r="AX7" s="9">
        <v>752681453</v>
      </c>
      <c r="AY7" s="9">
        <v>445288372</v>
      </c>
      <c r="AZ7" s="9">
        <v>996538120</v>
      </c>
      <c r="BA7" s="9">
        <v>2242607707</v>
      </c>
      <c r="BB7" s="9">
        <v>1997176264</v>
      </c>
      <c r="BC7" s="9">
        <v>2159351302</v>
      </c>
      <c r="BD7" s="9">
        <v>2068800305</v>
      </c>
      <c r="BE7" s="9">
        <v>1802924172</v>
      </c>
      <c r="BF7" s="9">
        <v>1573115390</v>
      </c>
      <c r="BG7" s="9">
        <v>1668989664</v>
      </c>
      <c r="BH7" s="9">
        <v>1278303274</v>
      </c>
      <c r="BI7" s="9">
        <v>1329654521</v>
      </c>
      <c r="BJ7" s="9">
        <v>1398693210</v>
      </c>
      <c r="BK7" s="9">
        <v>1707980939</v>
      </c>
      <c r="BL7" s="9">
        <v>1496987299</v>
      </c>
      <c r="BM7" s="9">
        <v>1796464403</v>
      </c>
      <c r="BN7" s="9">
        <v>2800108212</v>
      </c>
      <c r="BO7" s="9">
        <v>1983622855</v>
      </c>
      <c r="BP7" s="9">
        <v>1563003165</v>
      </c>
      <c r="BQ7" s="9">
        <v>1300875681</v>
      </c>
      <c r="BR7" s="9">
        <v>937255691</v>
      </c>
      <c r="BS7" s="9">
        <v>742399216</v>
      </c>
      <c r="BT7" s="9">
        <v>1821194367</v>
      </c>
      <c r="BU7" s="9">
        <v>697043194</v>
      </c>
      <c r="BV7" s="9">
        <v>976362446</v>
      </c>
      <c r="BW7" s="9">
        <v>647892177</v>
      </c>
      <c r="BX7" s="9">
        <v>720218334</v>
      </c>
      <c r="BY7" s="9">
        <v>495351286</v>
      </c>
      <c r="BZ7" s="9">
        <v>1899784533</v>
      </c>
      <c r="CA7" s="9">
        <v>1043345739</v>
      </c>
      <c r="CB7" s="9">
        <v>2121198464</v>
      </c>
      <c r="CC7" s="9">
        <v>1413697217</v>
      </c>
      <c r="CD7" s="9">
        <v>1223747628</v>
      </c>
      <c r="CE7" s="9">
        <v>1217615764</v>
      </c>
      <c r="CF7" s="9">
        <v>1539520229</v>
      </c>
      <c r="CG7" s="9">
        <v>1544025332</v>
      </c>
      <c r="CH7" s="9">
        <v>801737658</v>
      </c>
      <c r="CI7" s="9">
        <v>1364839661</v>
      </c>
      <c r="CJ7" s="9">
        <v>1193664205</v>
      </c>
      <c r="CK7" s="9">
        <v>666258217</v>
      </c>
      <c r="CL7" s="9">
        <v>1093177701</v>
      </c>
      <c r="CM7" s="9">
        <v>1863331754</v>
      </c>
      <c r="CN7" s="9">
        <v>1586509724</v>
      </c>
      <c r="CO7" s="9">
        <v>562455280</v>
      </c>
      <c r="CP7" s="9">
        <v>501663284</v>
      </c>
      <c r="CQ7" s="9">
        <v>527441536</v>
      </c>
      <c r="CR7" s="9">
        <v>458023328</v>
      </c>
      <c r="CS7" s="9">
        <v>430319814</v>
      </c>
      <c r="CT7" s="9">
        <v>648296230</v>
      </c>
      <c r="CU7" s="9">
        <v>361987506</v>
      </c>
      <c r="CV7" s="9">
        <v>440555598</v>
      </c>
      <c r="CW7" s="9">
        <v>394962837</v>
      </c>
      <c r="CX7" s="9">
        <v>545924495</v>
      </c>
      <c r="CY7" s="9">
        <v>657819164</v>
      </c>
      <c r="CZ7" s="9">
        <v>298852750</v>
      </c>
      <c r="DA7" s="9">
        <v>1425561261</v>
      </c>
      <c r="DB7" s="9">
        <v>527856811</v>
      </c>
      <c r="DC7" s="9">
        <v>2394573221</v>
      </c>
      <c r="DD7" s="9">
        <v>1968815548</v>
      </c>
      <c r="DE7" s="9">
        <v>4391755388</v>
      </c>
      <c r="DF7" s="9">
        <v>1331861777</v>
      </c>
      <c r="DG7" s="9">
        <v>1386013415</v>
      </c>
      <c r="DH7" s="9">
        <v>2467850990</v>
      </c>
      <c r="DI7" s="9">
        <v>1284868945</v>
      </c>
      <c r="DJ7" s="9">
        <v>3286219149</v>
      </c>
      <c r="DK7" s="9">
        <v>5204769778</v>
      </c>
      <c r="DL7" s="9">
        <v>1993992579</v>
      </c>
      <c r="DM7" s="9">
        <v>3052224352</v>
      </c>
      <c r="DN7" s="9">
        <v>5083819002</v>
      </c>
      <c r="DO7" s="9">
        <v>2933403947</v>
      </c>
      <c r="DP7" s="9">
        <v>1386273048</v>
      </c>
      <c r="DQ7" s="9">
        <v>1111995965</v>
      </c>
      <c r="DR7" s="9">
        <v>1941586254</v>
      </c>
      <c r="DS7" s="9">
        <v>996705106</v>
      </c>
      <c r="DT7" s="9">
        <v>1559893620</v>
      </c>
      <c r="DU7" s="9">
        <v>2332639492</v>
      </c>
      <c r="DV7" s="9">
        <v>4822491205</v>
      </c>
      <c r="DW7" s="9">
        <v>10515258282</v>
      </c>
      <c r="DX7" s="9">
        <v>5257550072</v>
      </c>
      <c r="DY7" s="9">
        <v>5109527666</v>
      </c>
      <c r="DZ7" s="9">
        <v>16530883903</v>
      </c>
      <c r="EA7" s="9">
        <v>13590846694</v>
      </c>
      <c r="EB7" s="9">
        <v>7489068018</v>
      </c>
      <c r="EC7" s="9">
        <v>3691319583</v>
      </c>
      <c r="ED7" s="9">
        <v>4554443287</v>
      </c>
      <c r="EE7" s="9">
        <v>3936855824</v>
      </c>
      <c r="EF7" s="9">
        <v>4023444402</v>
      </c>
      <c r="EG7" s="9">
        <v>3486620514</v>
      </c>
      <c r="EH7" s="9">
        <v>3725724202</v>
      </c>
      <c r="EI7" s="9">
        <v>5158274634</v>
      </c>
      <c r="EJ7" s="9">
        <v>9445732905</v>
      </c>
      <c r="EK7" s="9">
        <v>5855777817</v>
      </c>
      <c r="EL7" s="9">
        <v>5565708616</v>
      </c>
      <c r="EM7" s="9">
        <v>5615476824</v>
      </c>
      <c r="EN7" s="9">
        <v>3609866660</v>
      </c>
      <c r="EO7" s="9">
        <v>4231164967</v>
      </c>
      <c r="EP7" s="9">
        <v>6361926842</v>
      </c>
      <c r="EQ7" s="9">
        <v>8052171201</v>
      </c>
      <c r="ER7" s="9">
        <v>13213364888</v>
      </c>
      <c r="ES7" s="9">
        <v>8426045615</v>
      </c>
      <c r="ET7" s="9">
        <v>10293357243</v>
      </c>
      <c r="EU7" s="9">
        <v>4711638831</v>
      </c>
      <c r="EV7" s="9">
        <v>7924258216</v>
      </c>
      <c r="EW7" s="9">
        <v>12142674809</v>
      </c>
      <c r="EX7" s="9">
        <v>13352585819</v>
      </c>
      <c r="EY7" s="9">
        <v>13565499311</v>
      </c>
      <c r="EZ7" s="9">
        <v>11577809566</v>
      </c>
      <c r="FA7" s="9">
        <v>4977879116</v>
      </c>
      <c r="FB7" s="9">
        <v>7896887862</v>
      </c>
      <c r="FC7" s="9">
        <v>7367145922</v>
      </c>
      <c r="FD7" s="9">
        <v>11362000205</v>
      </c>
      <c r="FE7" s="9">
        <v>6225496954</v>
      </c>
      <c r="FF7" s="9">
        <v>4178082560</v>
      </c>
      <c r="FG7" s="9">
        <v>7208153152</v>
      </c>
      <c r="FH7" s="14">
        <v>6338235163</v>
      </c>
      <c r="FI7" s="14">
        <f>(FI8+FI9)</f>
        <v>5692604016</v>
      </c>
      <c r="FJ7" s="14">
        <f>(FJ8+FJ9)</f>
        <v>7304440687</v>
      </c>
      <c r="FK7" s="9">
        <f>(FK8+FK9)</f>
        <v>10173041195</v>
      </c>
      <c r="FL7" s="9">
        <f>(FL8+FL9)</f>
        <v>24236109049</v>
      </c>
      <c r="FM7" s="14">
        <v>7171572492</v>
      </c>
      <c r="FN7" s="9">
        <v>14935475445</v>
      </c>
      <c r="FO7" s="9">
        <v>14272054061</v>
      </c>
      <c r="FP7" s="9">
        <v>9730723729</v>
      </c>
      <c r="FQ7" s="9">
        <v>4235093260</v>
      </c>
      <c r="FR7" s="9">
        <v>12536833620</v>
      </c>
      <c r="FS7" s="9">
        <v>5291994923</v>
      </c>
      <c r="FT7" s="9">
        <v>2500484521</v>
      </c>
      <c r="FU7" s="9">
        <v>7839670960</v>
      </c>
      <c r="FV7" s="9">
        <v>8528356674</v>
      </c>
      <c r="FW7" s="9">
        <v>10703933141</v>
      </c>
      <c r="FX7" s="9">
        <v>8310319772</v>
      </c>
      <c r="FY7" s="9">
        <v>6100454856</v>
      </c>
      <c r="FZ7" s="9">
        <v>3418573568</v>
      </c>
      <c r="GA7" s="9">
        <v>7625300667</v>
      </c>
      <c r="GB7" s="9">
        <v>9654400208</v>
      </c>
      <c r="GC7" s="9">
        <v>46315028918</v>
      </c>
      <c r="GD7" s="9">
        <v>5438849469</v>
      </c>
      <c r="GE7" s="9">
        <v>5863170916</v>
      </c>
      <c r="GF7" s="9">
        <v>13582837631</v>
      </c>
      <c r="GG7" s="9">
        <v>6341445273</v>
      </c>
      <c r="GH7" s="9">
        <v>4083528906</v>
      </c>
      <c r="GI7" s="9">
        <v>3497844402</v>
      </c>
      <c r="GJ7" s="9">
        <v>3293965470</v>
      </c>
      <c r="GK7" s="9">
        <v>1338946061</v>
      </c>
      <c r="GL7" s="9">
        <v>2684529483</v>
      </c>
      <c r="GM7" s="9">
        <v>4270666374</v>
      </c>
      <c r="GN7" s="9">
        <v>10250688565</v>
      </c>
      <c r="GO7" s="9">
        <v>2643935441</v>
      </c>
      <c r="GP7" s="9">
        <v>13531409289</v>
      </c>
      <c r="GQ7" s="9">
        <v>16197669571</v>
      </c>
      <c r="GR7" s="9">
        <v>9410909488</v>
      </c>
      <c r="GS7" s="9">
        <v>8975871103</v>
      </c>
      <c r="GT7" s="9">
        <v>19041485845</v>
      </c>
      <c r="GU7" s="9">
        <v>19108908058</v>
      </c>
      <c r="GV7" s="9">
        <v>12388540176</v>
      </c>
      <c r="GW7" s="9">
        <v>23958034342</v>
      </c>
      <c r="GX7" s="9">
        <v>27776479555</v>
      </c>
      <c r="GY7" s="9">
        <v>28376654019</v>
      </c>
      <c r="GZ7" s="9">
        <v>32723292614</v>
      </c>
      <c r="HA7" s="9">
        <v>26660612366</v>
      </c>
      <c r="HB7" s="9">
        <v>34462260714</v>
      </c>
      <c r="HC7" s="9">
        <v>53231150768</v>
      </c>
      <c r="HD7" s="9">
        <v>55470330406</v>
      </c>
      <c r="HE7" s="9">
        <v>54187398368</v>
      </c>
      <c r="HF7" s="9">
        <v>87164514121</v>
      </c>
      <c r="HG7" s="9">
        <v>90150130011</v>
      </c>
      <c r="HH7" s="9">
        <v>31097038242</v>
      </c>
      <c r="HI7" s="9">
        <v>43169091885</v>
      </c>
      <c r="HJ7" s="9">
        <v>75392362700</v>
      </c>
      <c r="HK7" s="9">
        <v>60487855267</v>
      </c>
      <c r="HL7" s="9">
        <v>52817839702</v>
      </c>
      <c r="HM7" s="9">
        <v>31105810954</v>
      </c>
      <c r="HN7" s="9">
        <v>49633535991</v>
      </c>
      <c r="HO7" s="9">
        <v>61186069302</v>
      </c>
      <c r="HP7" s="9">
        <v>34531868289</v>
      </c>
      <c r="HQ7" s="9">
        <v>59243596120</v>
      </c>
      <c r="HR7" s="9">
        <v>58037094399</v>
      </c>
      <c r="HS7" s="9">
        <v>25241113149</v>
      </c>
      <c r="HT7" s="9">
        <v>20663667149</v>
      </c>
      <c r="HU7" s="9">
        <v>17915029477</v>
      </c>
      <c r="HV7" s="9">
        <v>19101832681</v>
      </c>
      <c r="HW7" s="9">
        <v>29456683794</v>
      </c>
      <c r="HX7" s="9">
        <v>33151343867</v>
      </c>
      <c r="HY7" s="9">
        <v>9008104594</v>
      </c>
      <c r="HZ7" s="9">
        <v>8373906554</v>
      </c>
      <c r="IA7" s="9">
        <v>17762024357</v>
      </c>
      <c r="IB7" s="9">
        <v>8911200081</v>
      </c>
      <c r="IC7" s="9">
        <v>13339432900</v>
      </c>
      <c r="ID7" s="9">
        <v>33490256734</v>
      </c>
      <c r="IE7" s="9">
        <v>14763582928</v>
      </c>
      <c r="IF7" s="9">
        <v>14121642367</v>
      </c>
      <c r="IG7" s="9">
        <v>12347187753</v>
      </c>
      <c r="IH7" s="15">
        <v>24479863419</v>
      </c>
      <c r="II7" s="15">
        <v>15833415797</v>
      </c>
      <c r="IJ7" s="15">
        <v>17286968798</v>
      </c>
      <c r="IK7" s="9">
        <v>16622206381</v>
      </c>
      <c r="IL7" s="9">
        <v>28504639625</v>
      </c>
      <c r="IM7" s="9">
        <v>17543473975</v>
      </c>
      <c r="IN7" s="9">
        <v>10898292859</v>
      </c>
      <c r="IO7" s="9">
        <v>13886323206</v>
      </c>
      <c r="IP7" s="9">
        <v>12334783161</v>
      </c>
      <c r="IQ7" s="9">
        <v>17624551844</v>
      </c>
      <c r="IR7" s="9">
        <v>12626868679</v>
      </c>
      <c r="IS7" s="9">
        <v>12826414058</v>
      </c>
      <c r="IT7" s="9">
        <v>22263158168</v>
      </c>
      <c r="IU7" s="9">
        <v>17900634331</v>
      </c>
      <c r="IV7" s="9">
        <v>12476134930</v>
      </c>
      <c r="IW7" s="9">
        <v>21007320954</v>
      </c>
      <c r="IX7" s="9">
        <v>23566334202</v>
      </c>
      <c r="IY7" s="9">
        <v>18527771356</v>
      </c>
      <c r="IZ7" s="9">
        <v>34316512592</v>
      </c>
      <c r="JA7" s="14">
        <v>40534933329</v>
      </c>
      <c r="JB7" s="9">
        <v>46148986004</v>
      </c>
      <c r="JC7" s="9">
        <v>39045246479</v>
      </c>
      <c r="JD7" s="9">
        <v>40807938867</v>
      </c>
      <c r="JE7" s="9">
        <v>24322150657</v>
      </c>
      <c r="JF7" s="9">
        <v>24852649611</v>
      </c>
      <c r="JG7" s="9">
        <v>24142152757</v>
      </c>
      <c r="JH7" s="9">
        <v>17271652395</v>
      </c>
      <c r="JI7" s="9">
        <v>13321015095</v>
      </c>
      <c r="JJ7" s="9">
        <v>27325020230</v>
      </c>
      <c r="JK7" s="9">
        <v>16072239178</v>
      </c>
      <c r="JL7" s="9">
        <v>25519620177</v>
      </c>
      <c r="JM7" s="9">
        <v>34205188163</v>
      </c>
      <c r="JN7" s="9">
        <v>15840860991</v>
      </c>
      <c r="JO7" s="9">
        <v>20719869378</v>
      </c>
      <c r="JP7" s="9">
        <v>13489490802</v>
      </c>
      <c r="JQ7" s="9">
        <v>20491251526</v>
      </c>
      <c r="JR7" s="9">
        <v>14216363407</v>
      </c>
      <c r="JS7" s="9">
        <v>12729615691</v>
      </c>
      <c r="JT7" s="9">
        <v>17909343841</v>
      </c>
      <c r="JU7" s="9">
        <v>14256871277</v>
      </c>
      <c r="JV7" s="9">
        <v>17204385271</v>
      </c>
      <c r="JW7" s="52">
        <v>11061236455</v>
      </c>
      <c r="JX7" s="59">
        <v>11993452317</v>
      </c>
      <c r="JY7" s="59">
        <v>20731617079</v>
      </c>
      <c r="JZ7" s="59">
        <v>15281753530</v>
      </c>
      <c r="KA7" s="59">
        <v>9851567938</v>
      </c>
      <c r="KB7" s="59">
        <v>8269457362</v>
      </c>
      <c r="KC7" s="59">
        <v>23429783565</v>
      </c>
      <c r="KD7" s="59">
        <v>13608531723</v>
      </c>
      <c r="KE7" s="59">
        <v>12554155550</v>
      </c>
      <c r="KF7" s="59">
        <v>19398213389</v>
      </c>
      <c r="KG7" s="59">
        <v>26161539979</v>
      </c>
      <c r="KH7" s="59">
        <v>17496681368</v>
      </c>
      <c r="KI7" s="59">
        <v>21312109334</v>
      </c>
      <c r="KJ7" s="59">
        <v>14530717076</v>
      </c>
      <c r="KK7" s="59">
        <v>13938768396</v>
      </c>
      <c r="KL7" s="87">
        <v>26573043152</v>
      </c>
      <c r="KM7" s="96">
        <v>23828901198</v>
      </c>
      <c r="KN7" s="96">
        <v>20245853324</v>
      </c>
      <c r="KO7" s="96">
        <v>10942722872</v>
      </c>
      <c r="KP7" s="96">
        <v>17458107734</v>
      </c>
      <c r="KQ7" s="96">
        <v>19513211583</v>
      </c>
      <c r="KR7" s="96">
        <v>33433501111</v>
      </c>
      <c r="KS7" s="96">
        <v>11661269803</v>
      </c>
      <c r="KT7" s="96">
        <v>15741874279</v>
      </c>
      <c r="KU7" s="96">
        <v>11586681344</v>
      </c>
      <c r="KV7" s="96">
        <v>8649347572</v>
      </c>
      <c r="KW7" s="96">
        <v>12027045341</v>
      </c>
      <c r="KX7" s="96">
        <v>10916220749</v>
      </c>
      <c r="KY7" s="96">
        <v>17608355736</v>
      </c>
      <c r="KZ7" s="96">
        <v>24788102852</v>
      </c>
      <c r="LA7" s="105">
        <v>16685120345</v>
      </c>
      <c r="LB7" s="96">
        <v>12157123626</v>
      </c>
      <c r="LC7" s="96">
        <v>14194236729</v>
      </c>
      <c r="LD7" s="96">
        <v>11404224851</v>
      </c>
      <c r="LE7" s="96">
        <v>7823613598</v>
      </c>
      <c r="LF7" s="96">
        <v>8375893260</v>
      </c>
      <c r="LG7" s="96">
        <v>9834174336</v>
      </c>
      <c r="LH7" s="96">
        <v>25026064669</v>
      </c>
      <c r="LI7" s="96">
        <v>14680609138</v>
      </c>
      <c r="LJ7" s="96">
        <v>14815098579</v>
      </c>
      <c r="LK7" s="96">
        <v>16547769919</v>
      </c>
      <c r="LL7" s="96">
        <v>25375166358</v>
      </c>
      <c r="LM7" s="96">
        <v>11173982931</v>
      </c>
      <c r="LN7" s="96">
        <v>37802703573</v>
      </c>
      <c r="LO7" s="96">
        <v>8396750380</v>
      </c>
      <c r="LP7" s="96">
        <v>6324628808</v>
      </c>
      <c r="LQ7" s="218"/>
      <c r="LR7" s="96">
        <v>22809292981</v>
      </c>
      <c r="LS7" s="96">
        <v>29071926748</v>
      </c>
      <c r="LT7" s="111">
        <v>26579280946</v>
      </c>
      <c r="LU7" s="2">
        <v>36859609526</v>
      </c>
      <c r="LV7" s="120">
        <v>49955620139</v>
      </c>
      <c r="LW7" s="96">
        <v>58170955064</v>
      </c>
      <c r="LX7" s="96">
        <v>53350179621</v>
      </c>
      <c r="LY7" s="96">
        <v>67560566262</v>
      </c>
      <c r="LZ7" s="131">
        <v>185769684426</v>
      </c>
      <c r="MA7" s="131">
        <v>97739735682</v>
      </c>
      <c r="MB7" s="131">
        <v>40944856932</v>
      </c>
      <c r="MC7" s="96">
        <v>52996395635</v>
      </c>
      <c r="MD7" s="96">
        <v>37023805020</v>
      </c>
      <c r="ME7" s="96">
        <v>46472628826</v>
      </c>
      <c r="MF7" s="96">
        <v>53813320592</v>
      </c>
      <c r="MG7" s="96">
        <v>143510249018</v>
      </c>
      <c r="MH7" s="96">
        <v>134726825453</v>
      </c>
      <c r="MI7" s="96">
        <v>77677159159</v>
      </c>
      <c r="MJ7" s="96">
        <v>153390647821</v>
      </c>
      <c r="MK7" s="96">
        <v>149091810887</v>
      </c>
      <c r="ML7" s="2">
        <v>164202797782</v>
      </c>
      <c r="MM7" s="96">
        <v>86582102091</v>
      </c>
      <c r="MN7" s="140">
        <v>52140986755</v>
      </c>
      <c r="MO7" s="96">
        <v>17740404113</v>
      </c>
      <c r="MP7" s="96">
        <v>29956439913</v>
      </c>
      <c r="MQ7" s="96">
        <v>22944178458</v>
      </c>
      <c r="MR7" s="151">
        <v>20594324530</v>
      </c>
      <c r="MS7" s="152">
        <v>77160723868</v>
      </c>
      <c r="MT7" s="152">
        <v>95759679517</v>
      </c>
      <c r="MU7" s="152">
        <v>39698931129</v>
      </c>
      <c r="MV7" s="152">
        <v>32077681837</v>
      </c>
      <c r="MW7" s="153">
        <v>47743827012</v>
      </c>
      <c r="MX7" s="96">
        <v>37138412057</v>
      </c>
      <c r="MY7" s="96">
        <v>37383582987</v>
      </c>
      <c r="MZ7" s="96">
        <v>42719532052</v>
      </c>
      <c r="NA7" s="96">
        <v>15426252512</v>
      </c>
      <c r="NB7" s="96">
        <v>13995849293</v>
      </c>
      <c r="NC7" s="105">
        <v>29273864293</v>
      </c>
      <c r="ND7" s="96">
        <v>73098734076</v>
      </c>
      <c r="NE7" s="96">
        <v>68871649725</v>
      </c>
      <c r="NF7" s="96">
        <v>26779052086</v>
      </c>
      <c r="NG7" s="2">
        <v>19591107977</v>
      </c>
      <c r="NH7" s="178">
        <v>23731301181</v>
      </c>
      <c r="NI7" s="2">
        <v>22620009835</v>
      </c>
      <c r="NJ7" s="96">
        <v>14302265146</v>
      </c>
      <c r="NK7" s="96">
        <v>32831868137</v>
      </c>
      <c r="NL7" s="96">
        <v>35482381814</v>
      </c>
      <c r="NM7" s="151">
        <v>51726688741</v>
      </c>
      <c r="NN7" s="152">
        <v>37070833697</v>
      </c>
      <c r="NO7" s="186">
        <v>32898907565</v>
      </c>
      <c r="NP7" s="152">
        <v>23210288196</v>
      </c>
      <c r="NQ7" s="152">
        <v>14776284568</v>
      </c>
      <c r="NR7" s="186">
        <v>31416406703</v>
      </c>
      <c r="NS7" s="152">
        <v>57895289509</v>
      </c>
      <c r="NT7" s="152">
        <v>73004942522</v>
      </c>
      <c r="NU7" s="153">
        <v>133019214394</v>
      </c>
      <c r="NV7" s="2">
        <v>140432059107</v>
      </c>
      <c r="NW7" s="2">
        <v>58416394173</v>
      </c>
      <c r="NX7" s="2">
        <v>40353115432</v>
      </c>
      <c r="NY7" s="2">
        <v>48267820413</v>
      </c>
      <c r="NZ7" s="2">
        <v>79997536967</v>
      </c>
      <c r="OA7" s="2">
        <v>98276776371</v>
      </c>
      <c r="OB7" s="2">
        <v>157486015804</v>
      </c>
      <c r="OC7" s="2">
        <v>131900936229</v>
      </c>
      <c r="OD7" s="2">
        <v>148756908586</v>
      </c>
      <c r="OE7" s="2">
        <v>157219938172</v>
      </c>
      <c r="OF7" s="2">
        <v>94686257277</v>
      </c>
      <c r="OG7" s="140">
        <v>76855184173</v>
      </c>
    </row>
    <row r="8" spans="1:397" s="2" customFormat="1" ht="15" customHeight="1" x14ac:dyDescent="0.25">
      <c r="A8" s="26" t="s">
        <v>2</v>
      </c>
      <c r="B8" s="9">
        <v>157392044</v>
      </c>
      <c r="C8" s="9">
        <v>154997355</v>
      </c>
      <c r="D8" s="9">
        <v>235124647</v>
      </c>
      <c r="E8" s="9">
        <v>122481338</v>
      </c>
      <c r="F8" s="9">
        <v>179682855</v>
      </c>
      <c r="G8" s="9">
        <v>652188903</v>
      </c>
      <c r="H8" s="9">
        <v>1180282133</v>
      </c>
      <c r="I8" s="9">
        <v>1358106365</v>
      </c>
      <c r="J8" s="9">
        <v>693883560</v>
      </c>
      <c r="K8" s="9">
        <v>736082330</v>
      </c>
      <c r="L8" s="9">
        <v>2034475502</v>
      </c>
      <c r="M8" s="9">
        <v>1779594601</v>
      </c>
      <c r="N8" s="9">
        <v>2183423216</v>
      </c>
      <c r="O8" s="9">
        <v>3331730662</v>
      </c>
      <c r="P8" s="9">
        <v>1934670872</v>
      </c>
      <c r="Q8" s="9">
        <v>905497160</v>
      </c>
      <c r="R8" s="9">
        <v>691150511</v>
      </c>
      <c r="S8" s="9">
        <v>877299350</v>
      </c>
      <c r="T8" s="9">
        <v>735956517</v>
      </c>
      <c r="U8" s="9">
        <v>1003791442</v>
      </c>
      <c r="V8" s="9">
        <v>2017134707</v>
      </c>
      <c r="W8" s="9">
        <v>709593292</v>
      </c>
      <c r="X8" s="9">
        <v>789239676</v>
      </c>
      <c r="Y8" s="9">
        <v>685557878</v>
      </c>
      <c r="Z8" s="9">
        <v>467375310</v>
      </c>
      <c r="AA8" s="9">
        <v>397722474</v>
      </c>
      <c r="AB8" s="9">
        <v>724474226</v>
      </c>
      <c r="AC8" s="9">
        <v>289002119</v>
      </c>
      <c r="AD8" s="9">
        <v>336780112</v>
      </c>
      <c r="AE8" s="9">
        <v>350145364</v>
      </c>
      <c r="AF8" s="9">
        <v>404284882</v>
      </c>
      <c r="AG8" s="9">
        <v>488009998</v>
      </c>
      <c r="AH8" s="9">
        <v>319326900</v>
      </c>
      <c r="AI8" s="9">
        <v>222026736</v>
      </c>
      <c r="AJ8" s="9">
        <v>267271650</v>
      </c>
      <c r="AK8" s="9">
        <v>313441184</v>
      </c>
      <c r="AL8" s="9">
        <v>245919152</v>
      </c>
      <c r="AM8" s="9">
        <v>390096811</v>
      </c>
      <c r="AN8" s="9">
        <v>435554637</v>
      </c>
      <c r="AO8" s="9">
        <v>199818210</v>
      </c>
      <c r="AP8" s="9">
        <v>148634866</v>
      </c>
      <c r="AQ8" s="9">
        <v>152460017</v>
      </c>
      <c r="AR8" s="9">
        <v>131776386</v>
      </c>
      <c r="AS8" s="9">
        <v>175903757</v>
      </c>
      <c r="AT8" s="9">
        <v>178657834</v>
      </c>
      <c r="AU8" s="9">
        <v>414623563</v>
      </c>
      <c r="AV8" s="9">
        <v>396360124</v>
      </c>
      <c r="AW8" s="9">
        <v>480288154</v>
      </c>
      <c r="AX8" s="9">
        <v>500413627</v>
      </c>
      <c r="AY8" s="9">
        <v>245267941</v>
      </c>
      <c r="AZ8" s="9">
        <v>620561783</v>
      </c>
      <c r="BA8" s="9">
        <v>1227020270</v>
      </c>
      <c r="BB8" s="9">
        <v>1179401930</v>
      </c>
      <c r="BC8" s="9">
        <v>1406315198</v>
      </c>
      <c r="BD8" s="9">
        <v>1318260091</v>
      </c>
      <c r="BE8" s="9">
        <v>1086141826</v>
      </c>
      <c r="BF8" s="9">
        <v>950057934</v>
      </c>
      <c r="BG8" s="9">
        <v>832305929</v>
      </c>
      <c r="BH8" s="9">
        <v>601956026</v>
      </c>
      <c r="BI8" s="9">
        <v>687447095</v>
      </c>
      <c r="BJ8" s="9">
        <v>943175088</v>
      </c>
      <c r="BK8" s="9">
        <v>1053643501</v>
      </c>
      <c r="BL8" s="9">
        <v>885770190</v>
      </c>
      <c r="BM8" s="9">
        <v>1276368921</v>
      </c>
      <c r="BN8" s="9">
        <v>2018987038</v>
      </c>
      <c r="BO8" s="9">
        <v>1141527779</v>
      </c>
      <c r="BP8" s="9">
        <v>891341571</v>
      </c>
      <c r="BQ8" s="9">
        <v>950057934</v>
      </c>
      <c r="BR8" s="9">
        <v>626784027</v>
      </c>
      <c r="BS8" s="9">
        <v>467052808</v>
      </c>
      <c r="BT8" s="9">
        <v>1028944690</v>
      </c>
      <c r="BU8" s="9">
        <v>501839124</v>
      </c>
      <c r="BV8" s="9">
        <v>635328953</v>
      </c>
      <c r="BW8" s="9">
        <v>434212995</v>
      </c>
      <c r="BX8" s="9">
        <v>353249763</v>
      </c>
      <c r="BY8" s="9">
        <v>258862262</v>
      </c>
      <c r="BZ8" s="9">
        <v>1322661364</v>
      </c>
      <c r="CA8" s="9">
        <v>580686343</v>
      </c>
      <c r="CB8" s="9">
        <v>1424118126</v>
      </c>
      <c r="CC8" s="9">
        <v>908387469</v>
      </c>
      <c r="CD8" s="9">
        <v>771887350</v>
      </c>
      <c r="CE8" s="9">
        <v>789513706</v>
      </c>
      <c r="CF8" s="9">
        <v>801902982</v>
      </c>
      <c r="CG8" s="9">
        <v>1035479374</v>
      </c>
      <c r="CH8" s="9">
        <v>580255311</v>
      </c>
      <c r="CI8" s="9">
        <v>1003996509</v>
      </c>
      <c r="CJ8" s="9">
        <v>763140535</v>
      </c>
      <c r="CK8" s="9">
        <v>452431035</v>
      </c>
      <c r="CL8" s="9">
        <v>775535959</v>
      </c>
      <c r="CM8" s="9">
        <v>1432047411</v>
      </c>
      <c r="CN8" s="9">
        <v>1133454442</v>
      </c>
      <c r="CO8" s="9">
        <v>353716726</v>
      </c>
      <c r="CP8" s="9">
        <v>402599727</v>
      </c>
      <c r="CQ8" s="9">
        <v>402242339</v>
      </c>
      <c r="CR8" s="9">
        <v>318060694</v>
      </c>
      <c r="CS8" s="9">
        <v>304366243</v>
      </c>
      <c r="CT8" s="9">
        <v>457319715</v>
      </c>
      <c r="CU8" s="9">
        <v>294403916</v>
      </c>
      <c r="CV8" s="9">
        <v>310558146</v>
      </c>
      <c r="CW8" s="9">
        <v>243639176</v>
      </c>
      <c r="CX8" s="9">
        <v>358158756</v>
      </c>
      <c r="CY8" s="9">
        <v>470467264</v>
      </c>
      <c r="CZ8" s="9">
        <v>221335721</v>
      </c>
      <c r="DA8" s="9">
        <v>902265534</v>
      </c>
      <c r="DB8" s="9">
        <v>443275085</v>
      </c>
      <c r="DC8" s="9">
        <v>2093206172</v>
      </c>
      <c r="DD8" s="9">
        <v>1619248557</v>
      </c>
      <c r="DE8" s="9">
        <v>4018757538</v>
      </c>
      <c r="DF8" s="9">
        <v>971227988</v>
      </c>
      <c r="DG8" s="9">
        <v>1164971544</v>
      </c>
      <c r="DH8" s="9">
        <v>1868677662</v>
      </c>
      <c r="DI8" s="9">
        <v>871754954</v>
      </c>
      <c r="DJ8" s="9">
        <v>2637836643</v>
      </c>
      <c r="DK8" s="9">
        <v>3914865863</v>
      </c>
      <c r="DL8" s="9">
        <v>1735451536</v>
      </c>
      <c r="DM8" s="9">
        <v>2008568686</v>
      </c>
      <c r="DN8" s="9">
        <v>4475753393</v>
      </c>
      <c r="DO8" s="9">
        <v>2633149322</v>
      </c>
      <c r="DP8" s="9">
        <v>1076418366</v>
      </c>
      <c r="DQ8" s="9">
        <v>907167789</v>
      </c>
      <c r="DR8" s="9">
        <v>1434794151</v>
      </c>
      <c r="DS8" s="9">
        <v>844210321</v>
      </c>
      <c r="DT8" s="9">
        <v>945677949</v>
      </c>
      <c r="DU8" s="9">
        <v>2139834512</v>
      </c>
      <c r="DV8" s="9">
        <v>3766406951</v>
      </c>
      <c r="DW8" s="9">
        <v>9115611069</v>
      </c>
      <c r="DX8" s="9">
        <v>4048077125</v>
      </c>
      <c r="DY8" s="9">
        <v>3998699182</v>
      </c>
      <c r="DZ8" s="9">
        <v>12400481865</v>
      </c>
      <c r="EA8" s="9">
        <v>11613801879</v>
      </c>
      <c r="EB8" s="9">
        <v>6540299749</v>
      </c>
      <c r="EC8" s="9">
        <v>3150413251</v>
      </c>
      <c r="ED8" s="9">
        <v>4015376056</v>
      </c>
      <c r="EE8" s="9">
        <v>3162038986</v>
      </c>
      <c r="EF8" s="9">
        <v>3505924890</v>
      </c>
      <c r="EG8" s="9">
        <v>2824269690</v>
      </c>
      <c r="EH8" s="9">
        <v>2713626995</v>
      </c>
      <c r="EI8" s="9">
        <v>3937249639</v>
      </c>
      <c r="EJ8" s="9">
        <v>7527628692</v>
      </c>
      <c r="EK8" s="9">
        <v>5331027989</v>
      </c>
      <c r="EL8" s="9">
        <v>4236838492</v>
      </c>
      <c r="EM8" s="9">
        <v>4833582362</v>
      </c>
      <c r="EN8" s="9">
        <v>3080187016</v>
      </c>
      <c r="EO8" s="9">
        <v>3314921359</v>
      </c>
      <c r="EP8" s="9">
        <v>4994744280</v>
      </c>
      <c r="EQ8" s="9">
        <v>6704280071</v>
      </c>
      <c r="ER8" s="9">
        <v>11588350083</v>
      </c>
      <c r="ES8" s="9">
        <v>6782536001</v>
      </c>
      <c r="ET8" s="9">
        <v>9033833585</v>
      </c>
      <c r="EU8" s="9">
        <v>3807503241</v>
      </c>
      <c r="EV8" s="9">
        <v>5732370362</v>
      </c>
      <c r="EW8" s="9">
        <v>9024940844</v>
      </c>
      <c r="EX8" s="9">
        <v>10675416055</v>
      </c>
      <c r="EY8" s="9">
        <v>10142769430</v>
      </c>
      <c r="EZ8" s="9">
        <v>7832848639</v>
      </c>
      <c r="FA8" s="9">
        <v>3638472142</v>
      </c>
      <c r="FB8" s="9">
        <v>4173851695</v>
      </c>
      <c r="FC8" s="9">
        <v>5699044521</v>
      </c>
      <c r="FD8" s="9">
        <v>7327338959</v>
      </c>
      <c r="FE8" s="9">
        <v>4384208878</v>
      </c>
      <c r="FF8" s="9">
        <v>2843684172</v>
      </c>
      <c r="FG8" s="9">
        <v>5985590776</v>
      </c>
      <c r="FH8" s="14">
        <v>4685809124</v>
      </c>
      <c r="FI8" s="14">
        <v>3135391574</v>
      </c>
      <c r="FJ8" s="14">
        <v>5836331695</v>
      </c>
      <c r="FK8" s="9">
        <v>7203961208</v>
      </c>
      <c r="FL8" s="9">
        <v>15038633762</v>
      </c>
      <c r="FM8" s="14">
        <v>4361076676</v>
      </c>
      <c r="FN8" s="9">
        <v>11244867785</v>
      </c>
      <c r="FO8" s="9">
        <v>9918051324</v>
      </c>
      <c r="FP8" s="9">
        <v>6738771760</v>
      </c>
      <c r="FQ8" s="9">
        <v>1564104912</v>
      </c>
      <c r="FR8" s="9">
        <v>2737670807</v>
      </c>
      <c r="FS8" s="9">
        <v>2330580074</v>
      </c>
      <c r="FT8" s="9">
        <v>1562237364</v>
      </c>
      <c r="FU8" s="9">
        <v>5593685895</v>
      </c>
      <c r="FV8" s="9">
        <v>5066460104</v>
      </c>
      <c r="FW8" s="9">
        <v>7575189369</v>
      </c>
      <c r="FX8" s="9">
        <v>5497477267</v>
      </c>
      <c r="FY8" s="9">
        <v>3986620294</v>
      </c>
      <c r="FZ8" s="9">
        <v>2351226165</v>
      </c>
      <c r="GA8" s="9">
        <v>5048718937</v>
      </c>
      <c r="GB8" s="9">
        <v>5787936311</v>
      </c>
      <c r="GC8" s="9">
        <v>5791817943</v>
      </c>
      <c r="GD8" s="9">
        <v>4477300239</v>
      </c>
      <c r="GE8" s="9">
        <v>5362105583</v>
      </c>
      <c r="GF8" s="9">
        <v>8977026196</v>
      </c>
      <c r="GG8" s="9">
        <v>3977555943</v>
      </c>
      <c r="GH8" s="9">
        <v>3058119054</v>
      </c>
      <c r="GI8" s="9">
        <v>2621464399</v>
      </c>
      <c r="GJ8" s="9">
        <v>2444205287</v>
      </c>
      <c r="GK8" s="9">
        <v>899467908</v>
      </c>
      <c r="GL8" s="9">
        <v>2313852539</v>
      </c>
      <c r="GM8" s="9">
        <v>3240378012</v>
      </c>
      <c r="GN8" s="9">
        <v>5775861251</v>
      </c>
      <c r="GO8" s="9">
        <v>2009190869</v>
      </c>
      <c r="GP8" s="9">
        <v>8653049726</v>
      </c>
      <c r="GQ8" s="9">
        <v>11453878224</v>
      </c>
      <c r="GR8" s="9">
        <v>6796871512</v>
      </c>
      <c r="GS8" s="9">
        <v>6479175919</v>
      </c>
      <c r="GT8" s="9">
        <v>15038319687</v>
      </c>
      <c r="GU8" s="9">
        <v>15094900070</v>
      </c>
      <c r="GV8" s="9">
        <v>8477598606</v>
      </c>
      <c r="GW8" s="9">
        <v>13677752224</v>
      </c>
      <c r="GX8" s="9">
        <v>18238948950</v>
      </c>
      <c r="GY8" s="9">
        <v>23901939432</v>
      </c>
      <c r="GZ8" s="9">
        <v>23503725819</v>
      </c>
      <c r="HA8" s="9">
        <v>21225201947</v>
      </c>
      <c r="HB8" s="9">
        <v>25727577825</v>
      </c>
      <c r="HC8" s="9">
        <v>42466525758</v>
      </c>
      <c r="HD8" s="9">
        <v>46186945660</v>
      </c>
      <c r="HE8" s="9">
        <v>45781126070</v>
      </c>
      <c r="HF8" s="9">
        <v>76448310697</v>
      </c>
      <c r="HG8" s="9">
        <v>76497119337</v>
      </c>
      <c r="HH8" s="9">
        <v>25244257148</v>
      </c>
      <c r="HI8" s="9">
        <v>36582870376</v>
      </c>
      <c r="HJ8" s="9">
        <v>69291358161</v>
      </c>
      <c r="HK8" s="9">
        <v>53547818860</v>
      </c>
      <c r="HL8" s="9">
        <v>44796783829</v>
      </c>
      <c r="HM8" s="9">
        <v>27252694263</v>
      </c>
      <c r="HN8" s="9">
        <v>44079996086</v>
      </c>
      <c r="HO8" s="9">
        <v>56748215335</v>
      </c>
      <c r="HP8" s="9">
        <v>29800029753</v>
      </c>
      <c r="HQ8" s="9">
        <v>55472818693</v>
      </c>
      <c r="HR8" s="9">
        <v>51921534917</v>
      </c>
      <c r="HS8" s="9">
        <v>20917333099</v>
      </c>
      <c r="HT8" s="9">
        <v>18530864039</v>
      </c>
      <c r="HU8" s="9">
        <v>14599977088</v>
      </c>
      <c r="HV8" s="9">
        <v>15592287897</v>
      </c>
      <c r="HW8" s="9">
        <v>24162423531</v>
      </c>
      <c r="HX8" s="9">
        <v>21679980712</v>
      </c>
      <c r="HY8" s="9">
        <v>7012623102</v>
      </c>
      <c r="HZ8" s="9">
        <v>5913908524</v>
      </c>
      <c r="IA8" s="9">
        <v>15815011793</v>
      </c>
      <c r="IB8" s="9">
        <v>6211049114</v>
      </c>
      <c r="IC8" s="9">
        <v>10244438595</v>
      </c>
      <c r="ID8" s="9">
        <v>28327146213</v>
      </c>
      <c r="IE8" s="9">
        <v>9988928433</v>
      </c>
      <c r="IF8" s="9">
        <v>7995354430</v>
      </c>
      <c r="IG8" s="9">
        <v>7594263601</v>
      </c>
      <c r="IH8" s="15">
        <v>12323390499</v>
      </c>
      <c r="II8" s="15">
        <v>7533037872</v>
      </c>
      <c r="IJ8" s="15">
        <v>11022188693</v>
      </c>
      <c r="IK8" s="9">
        <v>11365205387</v>
      </c>
      <c r="IL8" s="9">
        <v>22002145663</v>
      </c>
      <c r="IM8" s="9">
        <v>10152414395</v>
      </c>
      <c r="IN8" s="9">
        <v>7444053711</v>
      </c>
      <c r="IO8" s="9">
        <v>8234191150</v>
      </c>
      <c r="IP8" s="9">
        <v>7671292839</v>
      </c>
      <c r="IQ8" s="9">
        <v>13007063886</v>
      </c>
      <c r="IR8" s="9">
        <v>8621097981</v>
      </c>
      <c r="IS8" s="9">
        <v>8827636167</v>
      </c>
      <c r="IT8" s="9">
        <v>14661636257</v>
      </c>
      <c r="IU8" s="9">
        <v>11511180660</v>
      </c>
      <c r="IV8" s="9">
        <v>7849317713</v>
      </c>
      <c r="IW8" s="9">
        <v>13160701433</v>
      </c>
      <c r="IX8" s="9">
        <v>15313038528</v>
      </c>
      <c r="IY8" s="9">
        <v>12757831392</v>
      </c>
      <c r="IZ8" s="2">
        <v>26402755814</v>
      </c>
      <c r="JA8" s="14">
        <v>29188547575</v>
      </c>
      <c r="JB8" s="9">
        <v>34764761718</v>
      </c>
      <c r="JC8" s="9">
        <v>28411966178</v>
      </c>
      <c r="JD8" s="9">
        <v>33763252061</v>
      </c>
      <c r="JE8" s="9">
        <v>19004514605</v>
      </c>
      <c r="JF8" s="9">
        <v>17985979930</v>
      </c>
      <c r="JG8" s="9">
        <v>15977758901</v>
      </c>
      <c r="JH8" s="9">
        <v>12702707365</v>
      </c>
      <c r="JI8" s="9">
        <v>8319529890</v>
      </c>
      <c r="JJ8" s="9">
        <v>20245032080</v>
      </c>
      <c r="JK8" s="9">
        <v>11661776940</v>
      </c>
      <c r="JL8" s="9">
        <v>16364823599</v>
      </c>
      <c r="JM8" s="9">
        <v>25361662392</v>
      </c>
      <c r="JN8" s="9">
        <v>10135983861</v>
      </c>
      <c r="JO8" s="9">
        <v>12656968293</v>
      </c>
      <c r="JP8" s="9">
        <v>8823320126</v>
      </c>
      <c r="JQ8" s="9">
        <v>5912948672</v>
      </c>
      <c r="JR8" s="9">
        <v>8920686052</v>
      </c>
      <c r="JS8" s="9">
        <v>7495501527</v>
      </c>
      <c r="JT8" s="9">
        <v>10586919512</v>
      </c>
      <c r="JU8" s="9">
        <v>9648667211</v>
      </c>
      <c r="JV8" s="9">
        <v>8901291849</v>
      </c>
      <c r="JW8" s="52">
        <v>7163783973</v>
      </c>
      <c r="JX8" s="59">
        <v>8000417331</v>
      </c>
      <c r="JY8" s="59">
        <v>13441280695</v>
      </c>
      <c r="JZ8" s="59">
        <v>9921298562</v>
      </c>
      <c r="KA8" s="59">
        <v>6227972401</v>
      </c>
      <c r="KB8" s="59">
        <v>5199273002</v>
      </c>
      <c r="KC8" s="59">
        <v>7025799139</v>
      </c>
      <c r="KD8" s="59">
        <v>7272395555</v>
      </c>
      <c r="KE8" s="59">
        <v>6858676833</v>
      </c>
      <c r="KF8" s="59">
        <v>8874044977</v>
      </c>
      <c r="KG8" s="59">
        <v>12616313944</v>
      </c>
      <c r="KH8" s="59">
        <v>12583190124</v>
      </c>
      <c r="KI8" s="59">
        <v>10462802611</v>
      </c>
      <c r="KJ8" s="59">
        <v>8102163256</v>
      </c>
      <c r="KK8" s="59">
        <v>8172637294</v>
      </c>
      <c r="KL8" s="87">
        <v>14047907259</v>
      </c>
      <c r="KM8" s="96">
        <v>12728129068</v>
      </c>
      <c r="KN8" s="96">
        <v>10334312621</v>
      </c>
      <c r="KO8" s="96">
        <v>5043714514</v>
      </c>
      <c r="KP8" s="96">
        <v>8776778371</v>
      </c>
      <c r="KQ8" s="96">
        <v>11814092721</v>
      </c>
      <c r="KR8" s="96">
        <v>18594595793</v>
      </c>
      <c r="KS8" s="96">
        <v>6282674108</v>
      </c>
      <c r="KT8" s="96">
        <v>8479153935</v>
      </c>
      <c r="KU8" s="96">
        <v>5609415890</v>
      </c>
      <c r="KV8" s="96">
        <v>4996031661</v>
      </c>
      <c r="KW8" s="96">
        <v>6358837447</v>
      </c>
      <c r="KX8" s="96">
        <v>6248077834</v>
      </c>
      <c r="KY8" s="96">
        <v>7963480414</v>
      </c>
      <c r="KZ8" s="96">
        <v>17519554827</v>
      </c>
      <c r="LA8" s="105">
        <v>8734948092</v>
      </c>
      <c r="LB8" s="96">
        <v>6484749035</v>
      </c>
      <c r="LC8" s="96">
        <v>7366411788</v>
      </c>
      <c r="LD8" s="96">
        <v>5371112132</v>
      </c>
      <c r="LE8" s="96">
        <v>3610030526</v>
      </c>
      <c r="LF8" s="96">
        <v>6016677388</v>
      </c>
      <c r="LG8" s="96">
        <v>8176036986</v>
      </c>
      <c r="LH8" s="96">
        <v>15477117617</v>
      </c>
      <c r="LI8" s="96">
        <v>10733398704</v>
      </c>
      <c r="LJ8" s="96">
        <v>7649447160</v>
      </c>
      <c r="LK8" s="96">
        <v>10556114191</v>
      </c>
      <c r="LL8" s="96">
        <v>19113378887</v>
      </c>
      <c r="LM8" s="96">
        <v>8446805347</v>
      </c>
      <c r="LN8" s="96">
        <v>9090221088</v>
      </c>
      <c r="LO8" s="96">
        <v>6008994177</v>
      </c>
      <c r="LP8" s="96">
        <v>4273104376</v>
      </c>
      <c r="LQ8" s="218"/>
      <c r="LR8" s="96">
        <v>15647738546</v>
      </c>
      <c r="LS8" s="96">
        <v>20945713690</v>
      </c>
      <c r="LT8" s="111">
        <v>20186983159</v>
      </c>
      <c r="LU8" s="2">
        <v>31142195129</v>
      </c>
      <c r="LV8" s="120">
        <v>43511957908</v>
      </c>
      <c r="LW8" s="96">
        <v>53564423770</v>
      </c>
      <c r="LX8" s="96">
        <v>50222423633</v>
      </c>
      <c r="LY8" s="96">
        <v>63693124173</v>
      </c>
      <c r="LZ8" s="131">
        <v>178067380225</v>
      </c>
      <c r="MA8" s="131">
        <v>92687852025</v>
      </c>
      <c r="MB8" s="131">
        <v>29923190322</v>
      </c>
      <c r="MC8" s="96">
        <v>49028351104</v>
      </c>
      <c r="MD8" s="96">
        <v>32579172902</v>
      </c>
      <c r="ME8" s="96">
        <v>43382669648</v>
      </c>
      <c r="MF8" s="96">
        <v>47678819817</v>
      </c>
      <c r="MG8" s="96">
        <v>139738912606</v>
      </c>
      <c r="MH8" s="96">
        <v>128808785270</v>
      </c>
      <c r="MI8" s="96">
        <v>76027360607</v>
      </c>
      <c r="MJ8" s="96">
        <v>149265564148</v>
      </c>
      <c r="MK8" s="96">
        <v>145627615500</v>
      </c>
      <c r="ML8" s="2">
        <v>147506864371</v>
      </c>
      <c r="MM8" s="96">
        <v>84552824564</v>
      </c>
      <c r="MN8" s="140">
        <v>50182330402</v>
      </c>
      <c r="MO8" s="96">
        <v>16600421725</v>
      </c>
      <c r="MP8" s="96">
        <v>28628760131</v>
      </c>
      <c r="MQ8" s="96">
        <v>21634945499</v>
      </c>
      <c r="MR8" s="151">
        <v>19325472778</v>
      </c>
      <c r="MS8" s="152">
        <v>73212501095</v>
      </c>
      <c r="MT8" s="152">
        <v>84776287593</v>
      </c>
      <c r="MU8" s="152">
        <v>37677261859</v>
      </c>
      <c r="MV8" s="152">
        <v>30170940050</v>
      </c>
      <c r="MW8" s="153">
        <v>40152464553</v>
      </c>
      <c r="MX8" s="96">
        <v>35723782093</v>
      </c>
      <c r="MY8" s="96">
        <v>32915637989</v>
      </c>
      <c r="MZ8" s="96">
        <v>37494304161</v>
      </c>
      <c r="NA8" s="96">
        <v>13555603221</v>
      </c>
      <c r="NB8" s="96">
        <v>12491855230</v>
      </c>
      <c r="NC8" s="105">
        <v>27249671723</v>
      </c>
      <c r="ND8" s="96">
        <v>68044484704</v>
      </c>
      <c r="NE8" s="96">
        <v>61996403813</v>
      </c>
      <c r="NF8" s="96">
        <v>25040002123</v>
      </c>
      <c r="NG8" s="2">
        <v>16674619287</v>
      </c>
      <c r="NH8" s="178">
        <v>19510427452</v>
      </c>
      <c r="NI8" s="2">
        <v>20668446676</v>
      </c>
      <c r="NJ8" s="96">
        <v>11674878481</v>
      </c>
      <c r="NK8" s="96">
        <v>18428693020</v>
      </c>
      <c r="NL8" s="96">
        <v>31777981480</v>
      </c>
      <c r="NM8" s="151">
        <v>47337235711</v>
      </c>
      <c r="NN8" s="152">
        <v>33713816570</v>
      </c>
      <c r="NO8" s="186">
        <v>29799380421</v>
      </c>
      <c r="NP8" s="152">
        <v>17127278906</v>
      </c>
      <c r="NQ8" s="152">
        <v>13609432250</v>
      </c>
      <c r="NR8" s="186">
        <v>29659747569</v>
      </c>
      <c r="NS8" s="152">
        <v>54801004047</v>
      </c>
      <c r="NT8" s="152">
        <v>69204453890</v>
      </c>
      <c r="NU8" s="153">
        <v>127248798361</v>
      </c>
      <c r="NV8" s="2">
        <v>131968610410</v>
      </c>
      <c r="NW8" s="2">
        <v>52379502073</v>
      </c>
      <c r="NX8" s="2">
        <v>37259817282</v>
      </c>
      <c r="NY8" s="2">
        <v>44764087406</v>
      </c>
      <c r="NZ8" s="2">
        <v>73768517637</v>
      </c>
      <c r="OA8" s="2">
        <v>93495821759</v>
      </c>
      <c r="OB8" s="2">
        <v>148575649160</v>
      </c>
      <c r="OC8" s="2">
        <v>125246250048</v>
      </c>
      <c r="OD8" s="2">
        <v>136127173748</v>
      </c>
      <c r="OE8" s="2">
        <v>148757934081</v>
      </c>
      <c r="OF8" s="2">
        <v>89923647137</v>
      </c>
      <c r="OG8" s="140">
        <v>74135566171</v>
      </c>
    </row>
    <row r="9" spans="1:397" s="2" customFormat="1" ht="15" customHeight="1" x14ac:dyDescent="0.25">
      <c r="A9" s="26" t="s">
        <v>3</v>
      </c>
      <c r="B9" s="9">
        <f>B7-B8</f>
        <v>205423434</v>
      </c>
      <c r="C9" s="9">
        <f>C7-C8</f>
        <v>151256124</v>
      </c>
      <c r="D9" s="9">
        <f>D7-D8</f>
        <v>259218902</v>
      </c>
      <c r="E9" s="9">
        <f>E7-E8</f>
        <v>243961732</v>
      </c>
      <c r="F9" s="9">
        <v>336028499</v>
      </c>
      <c r="G9" s="9">
        <f t="shared" ref="G9:N9" si="0">G7-G8</f>
        <v>613872783</v>
      </c>
      <c r="H9" s="9">
        <f t="shared" si="0"/>
        <v>1046732381</v>
      </c>
      <c r="I9" s="9">
        <f t="shared" si="0"/>
        <v>658034996</v>
      </c>
      <c r="J9" s="9">
        <f t="shared" si="0"/>
        <v>1218667838</v>
      </c>
      <c r="K9" s="9">
        <f t="shared" si="0"/>
        <v>1195094279</v>
      </c>
      <c r="L9" s="9">
        <f t="shared" si="0"/>
        <v>1936987866</v>
      </c>
      <c r="M9" s="9">
        <f t="shared" si="0"/>
        <v>1429786488</v>
      </c>
      <c r="N9" s="9">
        <f t="shared" si="0"/>
        <v>2316449352</v>
      </c>
      <c r="O9" s="9">
        <v>2178602395</v>
      </c>
      <c r="P9" s="9">
        <f>P7-P8</f>
        <v>3533278678</v>
      </c>
      <c r="Q9" s="9">
        <f>Q7-Q8</f>
        <v>1200694553</v>
      </c>
      <c r="R9" s="9">
        <f>R7-R8</f>
        <v>892681679</v>
      </c>
      <c r="S9" s="9">
        <f>S7-S8</f>
        <v>1457356565</v>
      </c>
      <c r="T9" s="9">
        <v>1346515757</v>
      </c>
      <c r="U9" s="9">
        <v>1219822128</v>
      </c>
      <c r="V9" s="9">
        <v>1942241724</v>
      </c>
      <c r="W9" s="9">
        <v>969065958</v>
      </c>
      <c r="X9" s="9">
        <v>791245436</v>
      </c>
      <c r="Y9" s="9">
        <v>809194421</v>
      </c>
      <c r="Z9" s="9">
        <v>438313137</v>
      </c>
      <c r="AA9" s="9">
        <v>570132870</v>
      </c>
      <c r="AB9" s="9">
        <v>883069029</v>
      </c>
      <c r="AC9" s="9">
        <v>413652343</v>
      </c>
      <c r="AD9" s="9">
        <v>892945904</v>
      </c>
      <c r="AE9" s="9">
        <v>847824248</v>
      </c>
      <c r="AF9" s="9">
        <v>439366975</v>
      </c>
      <c r="AG9" s="9">
        <v>780496874</v>
      </c>
      <c r="AH9" s="9">
        <v>233825399</v>
      </c>
      <c r="AI9" s="9">
        <v>160414222</v>
      </c>
      <c r="AJ9" s="9">
        <v>520152865</v>
      </c>
      <c r="AK9" s="9">
        <v>486454689</v>
      </c>
      <c r="AL9" s="9">
        <v>631785385</v>
      </c>
      <c r="AM9" s="9">
        <v>517939002</v>
      </c>
      <c r="AN9" s="9">
        <v>505336432</v>
      </c>
      <c r="AO9" s="9">
        <v>263721951</v>
      </c>
      <c r="AP9" s="9">
        <v>151961405</v>
      </c>
      <c r="AQ9" s="9">
        <v>224346452</v>
      </c>
      <c r="AR9" s="9">
        <v>114882545</v>
      </c>
      <c r="AS9" s="9">
        <v>130415180</v>
      </c>
      <c r="AT9" s="9">
        <v>327216002</v>
      </c>
      <c r="AU9" s="9">
        <v>392875193</v>
      </c>
      <c r="AV9" s="9">
        <v>490120521</v>
      </c>
      <c r="AW9" s="9">
        <v>301994169</v>
      </c>
      <c r="AX9" s="9">
        <v>252267826</v>
      </c>
      <c r="AY9" s="9">
        <v>200020431</v>
      </c>
      <c r="AZ9" s="9">
        <v>375976337</v>
      </c>
      <c r="BA9" s="9">
        <v>1015587437</v>
      </c>
      <c r="BB9" s="9">
        <v>817774334</v>
      </c>
      <c r="BC9" s="9">
        <v>753036104</v>
      </c>
      <c r="BD9" s="9">
        <v>750540214</v>
      </c>
      <c r="BE9" s="9">
        <v>716782346</v>
      </c>
      <c r="BF9" s="9">
        <v>350817747</v>
      </c>
      <c r="BG9" s="9">
        <v>836683735</v>
      </c>
      <c r="BH9" s="9">
        <v>676347248</v>
      </c>
      <c r="BI9" s="9">
        <v>642207426</v>
      </c>
      <c r="BJ9" s="9">
        <v>455518122</v>
      </c>
      <c r="BK9" s="9">
        <v>654337438</v>
      </c>
      <c r="BL9" s="9">
        <v>611217109</v>
      </c>
      <c r="BM9" s="9">
        <v>520095482</v>
      </c>
      <c r="BN9" s="9">
        <v>781121174</v>
      </c>
      <c r="BO9" s="9">
        <v>842095076</v>
      </c>
      <c r="BP9" s="9">
        <v>671661594</v>
      </c>
      <c r="BQ9" s="9">
        <v>350817747</v>
      </c>
      <c r="BR9" s="9">
        <v>310471664</v>
      </c>
      <c r="BS9" s="9">
        <v>275346408</v>
      </c>
      <c r="BT9" s="9">
        <v>792249677</v>
      </c>
      <c r="BU9" s="9">
        <v>195204070</v>
      </c>
      <c r="BV9" s="9">
        <v>341033493</v>
      </c>
      <c r="BW9" s="9">
        <v>213679182</v>
      </c>
      <c r="BX9" s="9">
        <v>366968571</v>
      </c>
      <c r="BY9" s="9">
        <v>236489024</v>
      </c>
      <c r="BZ9" s="9">
        <v>577123169</v>
      </c>
      <c r="CA9" s="9">
        <v>462659396</v>
      </c>
      <c r="CB9" s="9">
        <v>697080338</v>
      </c>
      <c r="CC9" s="9">
        <v>505309748</v>
      </c>
      <c r="CD9" s="9">
        <v>451860278</v>
      </c>
      <c r="CE9" s="9">
        <v>428102058</v>
      </c>
      <c r="CF9" s="9">
        <v>737617247</v>
      </c>
      <c r="CG9" s="9">
        <v>508545958</v>
      </c>
      <c r="CH9" s="9">
        <v>221482347</v>
      </c>
      <c r="CI9" s="9">
        <v>360843152</v>
      </c>
      <c r="CJ9" s="9">
        <v>430523670</v>
      </c>
      <c r="CK9" s="9">
        <v>213827182</v>
      </c>
      <c r="CL9" s="9">
        <v>317641742</v>
      </c>
      <c r="CM9" s="9">
        <v>431284343</v>
      </c>
      <c r="CN9" s="9">
        <v>453055282</v>
      </c>
      <c r="CO9" s="9">
        <v>208738554</v>
      </c>
      <c r="CP9" s="9">
        <v>99063557</v>
      </c>
      <c r="CQ9" s="9">
        <v>125199197</v>
      </c>
      <c r="CR9" s="9">
        <v>139962634</v>
      </c>
      <c r="CS9" s="9">
        <v>125953571</v>
      </c>
      <c r="CT9" s="9">
        <v>190976515</v>
      </c>
      <c r="CU9" s="9">
        <v>67583590</v>
      </c>
      <c r="CV9" s="9">
        <v>129997452</v>
      </c>
      <c r="CW9" s="9">
        <v>151323661</v>
      </c>
      <c r="CX9" s="9">
        <v>187765739</v>
      </c>
      <c r="CY9" s="9">
        <v>187351901</v>
      </c>
      <c r="CZ9" s="9">
        <v>77517029</v>
      </c>
      <c r="DA9" s="9">
        <v>523295727</v>
      </c>
      <c r="DB9" s="9">
        <v>84581726</v>
      </c>
      <c r="DC9" s="9">
        <v>301367049</v>
      </c>
      <c r="DD9" s="9">
        <v>349566991</v>
      </c>
      <c r="DE9" s="9">
        <v>372997850</v>
      </c>
      <c r="DF9" s="9">
        <v>360633789</v>
      </c>
      <c r="DG9" s="9">
        <v>221041871</v>
      </c>
      <c r="DH9" s="9">
        <v>599173328</v>
      </c>
      <c r="DI9" s="9">
        <v>412112991</v>
      </c>
      <c r="DJ9" s="9">
        <v>648382506</v>
      </c>
      <c r="DK9" s="9">
        <v>1289903915</v>
      </c>
      <c r="DL9" s="9">
        <v>258541043</v>
      </c>
      <c r="DM9" s="9">
        <v>1043655666</v>
      </c>
      <c r="DN9" s="9">
        <v>608065609</v>
      </c>
      <c r="DO9" s="9">
        <v>300254625</v>
      </c>
      <c r="DP9" s="9">
        <v>309854682</v>
      </c>
      <c r="DQ9" s="9">
        <v>204828176</v>
      </c>
      <c r="DR9" s="9">
        <v>506792103</v>
      </c>
      <c r="DS9" s="9">
        <v>152494785</v>
      </c>
      <c r="DT9" s="9">
        <v>614215671</v>
      </c>
      <c r="DU9" s="9">
        <v>192804980</v>
      </c>
      <c r="DV9" s="9">
        <v>1056084254</v>
      </c>
      <c r="DW9" s="9">
        <v>1399647213</v>
      </c>
      <c r="DX9" s="9">
        <v>1209472947</v>
      </c>
      <c r="DY9" s="9">
        <v>1110828484</v>
      </c>
      <c r="DZ9" s="9">
        <v>4130402038</v>
      </c>
      <c r="EA9" s="9">
        <v>1977044815</v>
      </c>
      <c r="EB9" s="9">
        <v>948768269</v>
      </c>
      <c r="EC9" s="9">
        <v>540906332</v>
      </c>
      <c r="ED9" s="9">
        <v>539067231</v>
      </c>
      <c r="EE9" s="9">
        <v>774816838</v>
      </c>
      <c r="EF9" s="9">
        <v>517519512</v>
      </c>
      <c r="EG9" s="9">
        <v>662350824</v>
      </c>
      <c r="EH9" s="9">
        <v>1012097207</v>
      </c>
      <c r="EI9" s="9">
        <v>1221024995</v>
      </c>
      <c r="EJ9" s="9">
        <v>1918104213</v>
      </c>
      <c r="EK9" s="9">
        <v>524749828</v>
      </c>
      <c r="EL9" s="9">
        <v>1328870124</v>
      </c>
      <c r="EM9" s="9">
        <v>781894462</v>
      </c>
      <c r="EN9" s="9">
        <v>529679644</v>
      </c>
      <c r="EO9" s="9">
        <v>916243608</v>
      </c>
      <c r="EP9" s="9">
        <v>1367182562</v>
      </c>
      <c r="EQ9" s="9">
        <v>1347891130</v>
      </c>
      <c r="ER9" s="9">
        <v>1625014805</v>
      </c>
      <c r="ES9" s="9">
        <v>1643509614</v>
      </c>
      <c r="ET9" s="9">
        <v>1259523658</v>
      </c>
      <c r="EU9" s="9">
        <v>904135590</v>
      </c>
      <c r="EV9" s="9">
        <v>2191887855</v>
      </c>
      <c r="EW9" s="9">
        <v>3117733964</v>
      </c>
      <c r="EX9" s="9">
        <v>2667169764</v>
      </c>
      <c r="EY9" s="9">
        <v>3422729881</v>
      </c>
      <c r="EZ9" s="9">
        <v>3744960927</v>
      </c>
      <c r="FA9" s="9">
        <v>1339406973</v>
      </c>
      <c r="FB9" s="9">
        <v>3723036167</v>
      </c>
      <c r="FC9" s="9">
        <v>1668101401</v>
      </c>
      <c r="FD9" s="9">
        <v>4034661247</v>
      </c>
      <c r="FE9" s="9">
        <v>1841288076</v>
      </c>
      <c r="FF9" s="9">
        <v>1334398387</v>
      </c>
      <c r="FG9" s="9">
        <v>1222562377</v>
      </c>
      <c r="FH9" s="14">
        <v>1652426039</v>
      </c>
      <c r="FI9" s="14">
        <v>2557212442</v>
      </c>
      <c r="FJ9" s="14">
        <v>1468108992</v>
      </c>
      <c r="FK9" s="9">
        <v>2969079987</v>
      </c>
      <c r="FL9" s="9">
        <v>9197475287</v>
      </c>
      <c r="FM9" s="14">
        <v>2810495817</v>
      </c>
      <c r="FN9" s="9">
        <v>3690607660</v>
      </c>
      <c r="FO9" s="9">
        <v>4354002737</v>
      </c>
      <c r="FP9" s="9">
        <v>2991951969</v>
      </c>
      <c r="FQ9" s="9">
        <v>2670988348</v>
      </c>
      <c r="FR9" s="9">
        <v>9799162813</v>
      </c>
      <c r="FS9" s="9">
        <v>2961414849</v>
      </c>
      <c r="FT9" s="9">
        <v>938247158</v>
      </c>
      <c r="FU9" s="9">
        <v>2245985066</v>
      </c>
      <c r="FV9" s="9">
        <v>3461896570</v>
      </c>
      <c r="FW9" s="9">
        <v>3128743772</v>
      </c>
      <c r="FX9" s="9">
        <v>2812842504</v>
      </c>
      <c r="FY9" s="9">
        <v>2113834561</v>
      </c>
      <c r="FZ9" s="9">
        <v>1067347403</v>
      </c>
      <c r="GA9" s="9">
        <v>2576581730</v>
      </c>
      <c r="GB9" s="9">
        <v>3866463896</v>
      </c>
      <c r="GC9" s="9">
        <v>40523210975</v>
      </c>
      <c r="GD9" s="9">
        <v>961549177</v>
      </c>
      <c r="GE9" s="9">
        <v>501065333</v>
      </c>
      <c r="GF9" s="9">
        <v>4605811435</v>
      </c>
      <c r="GG9" s="9">
        <v>2363889330</v>
      </c>
      <c r="GH9" s="9">
        <v>1025409852</v>
      </c>
      <c r="GI9" s="9">
        <v>876380003</v>
      </c>
      <c r="GJ9" s="9">
        <v>849760184</v>
      </c>
      <c r="GK9" s="9">
        <v>439478153</v>
      </c>
      <c r="GL9" s="9">
        <v>370676944</v>
      </c>
      <c r="GM9" s="9">
        <v>1030288361</v>
      </c>
      <c r="GN9" s="9">
        <v>4474827314</v>
      </c>
      <c r="GO9" s="9">
        <v>634744572</v>
      </c>
      <c r="GP9" s="9">
        <v>4878359564</v>
      </c>
      <c r="GQ9" s="9">
        <v>4743791347</v>
      </c>
      <c r="GR9" s="9">
        <v>2614037976</v>
      </c>
      <c r="GS9" s="9">
        <v>2496695184</v>
      </c>
      <c r="GT9" s="9">
        <v>4003166159</v>
      </c>
      <c r="GU9" s="9">
        <v>4014007987</v>
      </c>
      <c r="GV9" s="9">
        <v>3910941570</v>
      </c>
      <c r="GW9" s="9">
        <v>10280282117</v>
      </c>
      <c r="GX9" s="9">
        <v>9537530606</v>
      </c>
      <c r="GY9" s="9">
        <v>4474714587</v>
      </c>
      <c r="GZ9" s="9">
        <v>9219566795</v>
      </c>
      <c r="HA9" s="9">
        <v>5435410420</v>
      </c>
      <c r="HB9" s="9">
        <v>8734682888</v>
      </c>
      <c r="HC9" s="9">
        <v>10764625011</v>
      </c>
      <c r="HD9" s="9">
        <v>9283384746</v>
      </c>
      <c r="HE9" s="9">
        <v>8406135298</v>
      </c>
      <c r="HF9" s="9">
        <v>10716203423</v>
      </c>
      <c r="HG9" s="9">
        <v>13653010674</v>
      </c>
      <c r="HH9" s="9">
        <v>5852781094</v>
      </c>
      <c r="HI9" s="9">
        <v>6586221509</v>
      </c>
      <c r="HJ9" s="9">
        <v>6101004539</v>
      </c>
      <c r="HK9" s="9">
        <v>6940036408</v>
      </c>
      <c r="HL9" s="9">
        <v>8021055873</v>
      </c>
      <c r="HM9" s="9">
        <v>3853116691</v>
      </c>
      <c r="HN9" s="9">
        <v>5553539905</v>
      </c>
      <c r="HO9" s="9">
        <v>4437853967</v>
      </c>
      <c r="HP9" s="9">
        <v>4731838536</v>
      </c>
      <c r="HQ9" s="9">
        <v>3770777426</v>
      </c>
      <c r="HR9" s="9">
        <v>6115559482</v>
      </c>
      <c r="HS9" s="9">
        <v>4323780050</v>
      </c>
      <c r="HT9" s="9">
        <v>2132803110</v>
      </c>
      <c r="HU9" s="9">
        <v>3315052389</v>
      </c>
      <c r="HV9" s="9">
        <v>3509544784</v>
      </c>
      <c r="HW9" s="9">
        <v>5294260263</v>
      </c>
      <c r="HX9" s="9">
        <v>11471363155</v>
      </c>
      <c r="HY9" s="9">
        <v>1995481492</v>
      </c>
      <c r="HZ9" s="9">
        <v>2459998029</v>
      </c>
      <c r="IA9" s="9">
        <v>1947012564</v>
      </c>
      <c r="IB9" s="9">
        <v>2700150967</v>
      </c>
      <c r="IC9" s="9">
        <v>3094994305</v>
      </c>
      <c r="ID9" s="9">
        <v>5163110520</v>
      </c>
      <c r="IE9" s="9">
        <v>4774654495</v>
      </c>
      <c r="IF9" s="9">
        <v>6126287937</v>
      </c>
      <c r="IG9" s="9">
        <v>4752924152</v>
      </c>
      <c r="IH9" s="15">
        <v>12156472919</v>
      </c>
      <c r="II9" s="15">
        <v>8300377925</v>
      </c>
      <c r="IJ9" s="15">
        <v>6264780105</v>
      </c>
      <c r="IK9" s="9">
        <v>5257000995</v>
      </c>
      <c r="IL9" s="9">
        <v>6502493962</v>
      </c>
      <c r="IM9" s="9">
        <v>7391059580</v>
      </c>
      <c r="IN9" s="9">
        <v>3454239148</v>
      </c>
      <c r="IO9" s="9">
        <v>5652132056</v>
      </c>
      <c r="IP9" s="9">
        <v>4663490323</v>
      </c>
      <c r="IQ9" s="9">
        <v>4617487958</v>
      </c>
      <c r="IR9" s="9">
        <v>4005770697</v>
      </c>
      <c r="IS9" s="9">
        <v>3998777891</v>
      </c>
      <c r="IT9" s="9">
        <v>7601521911</v>
      </c>
      <c r="IU9" s="9">
        <v>6389453670</v>
      </c>
      <c r="IV9" s="9">
        <v>4626817217</v>
      </c>
      <c r="IW9" s="9">
        <v>7846619521</v>
      </c>
      <c r="IX9" s="9">
        <v>8253295675</v>
      </c>
      <c r="IY9" s="9">
        <v>5769939964</v>
      </c>
      <c r="IZ9" s="2">
        <v>7913756778</v>
      </c>
      <c r="JA9" s="14">
        <v>11346385754</v>
      </c>
      <c r="JB9" s="9">
        <v>11384224286</v>
      </c>
      <c r="JC9" s="9">
        <v>10633280300</v>
      </c>
      <c r="JD9" s="9">
        <v>7044686807</v>
      </c>
      <c r="JE9" s="9">
        <v>5317636052</v>
      </c>
      <c r="JF9" s="9">
        <v>6866669681</v>
      </c>
      <c r="JG9" s="9">
        <v>8164393856</v>
      </c>
      <c r="JH9" s="9">
        <v>4568945029</v>
      </c>
      <c r="JI9" s="9">
        <v>5001485205</v>
      </c>
      <c r="JJ9" s="9">
        <v>7079988150</v>
      </c>
      <c r="JK9" s="9">
        <v>4410462238</v>
      </c>
      <c r="JL9" s="9">
        <v>9154796578</v>
      </c>
      <c r="JM9" s="9">
        <v>8843525772</v>
      </c>
      <c r="JN9" s="9">
        <v>5704877130</v>
      </c>
      <c r="JO9" s="9">
        <v>8062901085</v>
      </c>
      <c r="JP9" s="9">
        <v>4666170676</v>
      </c>
      <c r="JQ9" s="9">
        <v>14578302854</v>
      </c>
      <c r="JR9" s="9">
        <v>5295677355</v>
      </c>
      <c r="JS9" s="9">
        <v>5226080335</v>
      </c>
      <c r="JT9" s="9">
        <v>7322424329</v>
      </c>
      <c r="JU9" s="9">
        <v>4608204066</v>
      </c>
      <c r="JV9" s="9">
        <v>8303093422</v>
      </c>
      <c r="JW9" s="52">
        <v>3897452483</v>
      </c>
      <c r="JX9" s="59">
        <v>3993034986</v>
      </c>
      <c r="JY9" s="59">
        <v>7290336384</v>
      </c>
      <c r="JZ9" s="59">
        <v>5360454968</v>
      </c>
      <c r="KA9" s="59">
        <v>3623595537</v>
      </c>
      <c r="KB9" s="59">
        <v>3070184360</v>
      </c>
      <c r="KC9" s="59">
        <v>16403984426</v>
      </c>
      <c r="KD9" s="59">
        <v>6336136168</v>
      </c>
      <c r="KE9" s="59">
        <v>5695478716</v>
      </c>
      <c r="KF9" s="59">
        <v>10524168412</v>
      </c>
      <c r="KG9" s="59">
        <v>13545226035</v>
      </c>
      <c r="KH9" s="59">
        <v>4913491244</v>
      </c>
      <c r="KI9" s="59">
        <v>10849306724</v>
      </c>
      <c r="KJ9" s="59">
        <v>6428553820</v>
      </c>
      <c r="KK9" s="59">
        <v>5766131101</v>
      </c>
      <c r="KL9" s="87">
        <v>12525135892</v>
      </c>
      <c r="KM9" s="96">
        <v>11100772129</v>
      </c>
      <c r="KN9" s="96">
        <v>9911540704</v>
      </c>
      <c r="KO9" s="96">
        <v>5899008358</v>
      </c>
      <c r="KP9" s="96">
        <v>8681329362</v>
      </c>
      <c r="KQ9" s="96">
        <v>7699118863</v>
      </c>
      <c r="KR9" s="96">
        <v>14838905318</v>
      </c>
      <c r="KS9" s="96">
        <v>5378595695</v>
      </c>
      <c r="KT9" s="96">
        <v>7262720344</v>
      </c>
      <c r="KU9" s="96">
        <v>5977265454</v>
      </c>
      <c r="KV9" s="96">
        <v>3653315911</v>
      </c>
      <c r="KW9" s="96">
        <v>5668207893</v>
      </c>
      <c r="KX9" s="96">
        <v>4668142916</v>
      </c>
      <c r="KY9" s="96">
        <v>9644875323</v>
      </c>
      <c r="KZ9" s="96">
        <v>7268548026</v>
      </c>
      <c r="LA9" s="105">
        <v>7950172253</v>
      </c>
      <c r="LB9" s="96">
        <v>5672374591</v>
      </c>
      <c r="LC9" s="96">
        <v>6827824940</v>
      </c>
      <c r="LD9" s="96">
        <v>6033112718</v>
      </c>
      <c r="LE9" s="96">
        <v>4213583071</v>
      </c>
      <c r="LF9" s="96">
        <v>2359215872</v>
      </c>
      <c r="LG9" s="96">
        <v>1658137350</v>
      </c>
      <c r="LH9" s="96">
        <v>9548947053</v>
      </c>
      <c r="LI9" s="96">
        <v>3947210434</v>
      </c>
      <c r="LJ9" s="96">
        <v>7165651420</v>
      </c>
      <c r="LK9" s="96">
        <v>10556114191</v>
      </c>
      <c r="LL9" s="96">
        <v>6261787472</v>
      </c>
      <c r="LM9" s="96">
        <v>2727177584</v>
      </c>
      <c r="LN9" s="96">
        <v>28712482486</v>
      </c>
      <c r="LO9" s="96">
        <v>2387756203</v>
      </c>
      <c r="LP9" s="96">
        <v>2051524432</v>
      </c>
      <c r="LQ9" s="218"/>
      <c r="LR9" s="96">
        <v>7161554435</v>
      </c>
      <c r="LS9" s="96">
        <v>8126213057</v>
      </c>
      <c r="LT9" s="111">
        <v>6392297787</v>
      </c>
      <c r="LU9" s="2">
        <v>5717414397</v>
      </c>
      <c r="LV9" s="120">
        <v>6443662231</v>
      </c>
      <c r="LW9" s="96">
        <v>4606531294</v>
      </c>
      <c r="LX9" s="96">
        <v>3127755988</v>
      </c>
      <c r="LY9" s="96">
        <v>3867442089</v>
      </c>
      <c r="LZ9" s="131">
        <v>7702304201</v>
      </c>
      <c r="MA9" s="131">
        <v>5051883657</v>
      </c>
      <c r="MB9" s="131">
        <v>11021666610</v>
      </c>
      <c r="MC9" s="96">
        <v>3968044531</v>
      </c>
      <c r="MD9" s="96">
        <v>4444632118</v>
      </c>
      <c r="ME9" s="96">
        <v>3089959178</v>
      </c>
      <c r="MF9" s="96">
        <v>6134500776</v>
      </c>
      <c r="MG9" s="96">
        <v>3771336412</v>
      </c>
      <c r="MH9" s="96">
        <v>5918040182</v>
      </c>
      <c r="MI9" s="96">
        <v>1649798552</v>
      </c>
      <c r="MJ9" s="96">
        <v>4125083673</v>
      </c>
      <c r="MK9" s="96">
        <v>3464195387</v>
      </c>
      <c r="ML9" s="2">
        <v>16695933411</v>
      </c>
      <c r="MM9" s="96">
        <v>2029277527</v>
      </c>
      <c r="MN9" s="140">
        <v>1958656353</v>
      </c>
      <c r="MO9" s="96">
        <v>1139982389</v>
      </c>
      <c r="MP9" s="96">
        <v>1327679782</v>
      </c>
      <c r="MQ9" s="96">
        <v>1309232960</v>
      </c>
      <c r="MR9" s="151">
        <v>1268851752</v>
      </c>
      <c r="MS9" s="152">
        <v>3948222773</v>
      </c>
      <c r="MT9" s="152">
        <v>10983391924</v>
      </c>
      <c r="MU9" s="152">
        <v>2021669270</v>
      </c>
      <c r="MV9" s="152">
        <v>1906741787</v>
      </c>
      <c r="MW9" s="153">
        <v>7591362459</v>
      </c>
      <c r="MX9" s="96">
        <v>1414629964</v>
      </c>
      <c r="MY9" s="96">
        <v>4467944998</v>
      </c>
      <c r="MZ9" s="96">
        <v>5225227891</v>
      </c>
      <c r="NA9" s="96">
        <v>1870649291</v>
      </c>
      <c r="NB9" s="96">
        <v>1503994063</v>
      </c>
      <c r="NC9" s="105">
        <v>2024192570</v>
      </c>
      <c r="ND9" s="96">
        <v>5054249372</v>
      </c>
      <c r="NE9" s="96">
        <v>6875245913</v>
      </c>
      <c r="NF9" s="96">
        <v>1739049964</v>
      </c>
      <c r="NG9" s="2">
        <v>2916488690</v>
      </c>
      <c r="NH9" s="178">
        <v>4220873728</v>
      </c>
      <c r="NI9" s="2">
        <v>1951563159</v>
      </c>
      <c r="NJ9" s="96">
        <v>2627386665</v>
      </c>
      <c r="NK9" s="96">
        <v>14403175116</v>
      </c>
      <c r="NL9" s="96">
        <v>3704400333</v>
      </c>
      <c r="NM9" s="151">
        <v>4389453031</v>
      </c>
      <c r="NN9" s="152">
        <v>3357017128</v>
      </c>
      <c r="NO9" s="186">
        <v>3099527144</v>
      </c>
      <c r="NP9" s="152">
        <v>6083009291</v>
      </c>
      <c r="NQ9" s="152">
        <v>1166852319</v>
      </c>
      <c r="NR9" s="186">
        <v>1756659134</v>
      </c>
      <c r="NS9" s="152">
        <v>3094285462</v>
      </c>
      <c r="NT9" s="152">
        <v>3800488632</v>
      </c>
      <c r="NU9" s="153">
        <v>5770416032</v>
      </c>
      <c r="NV9" s="2">
        <v>8463448696</v>
      </c>
      <c r="NW9" s="2">
        <v>6036892100</v>
      </c>
      <c r="NX9" s="2">
        <v>3093298151</v>
      </c>
      <c r="NY9" s="2">
        <v>3503733008</v>
      </c>
      <c r="NZ9" s="2">
        <v>6229019329</v>
      </c>
      <c r="OA9" s="2">
        <v>4780954612</v>
      </c>
      <c r="OB9" s="2">
        <v>8910366644</v>
      </c>
      <c r="OC9" s="2">
        <v>6654686180</v>
      </c>
      <c r="OD9" s="2">
        <v>12629734838</v>
      </c>
      <c r="OE9" s="2">
        <v>8462004091</v>
      </c>
      <c r="OF9" s="2">
        <v>4762610140</v>
      </c>
      <c r="OG9" s="140">
        <v>2719618003</v>
      </c>
    </row>
    <row r="10" spans="1:397" s="2" customFormat="1" ht="15" customHeight="1" x14ac:dyDescent="0.25">
      <c r="A10" s="26" t="s">
        <v>4</v>
      </c>
      <c r="B10" s="9">
        <v>18</v>
      </c>
      <c r="C10" s="9">
        <v>19</v>
      </c>
      <c r="D10" s="9">
        <v>23</v>
      </c>
      <c r="E10" s="9">
        <v>17</v>
      </c>
      <c r="F10" s="9">
        <v>17</v>
      </c>
      <c r="G10" s="9">
        <v>21</v>
      </c>
      <c r="H10" s="9">
        <v>22</v>
      </c>
      <c r="I10" s="9">
        <v>20</v>
      </c>
      <c r="J10" s="9">
        <v>21</v>
      </c>
      <c r="K10" s="9">
        <v>21</v>
      </c>
      <c r="L10" s="9">
        <v>22</v>
      </c>
      <c r="M10" s="9">
        <v>20</v>
      </c>
      <c r="N10" s="9">
        <v>19</v>
      </c>
      <c r="O10" s="9">
        <v>18</v>
      </c>
      <c r="P10" s="9">
        <v>23</v>
      </c>
      <c r="Q10" s="9">
        <v>16</v>
      </c>
      <c r="R10" s="9">
        <v>18</v>
      </c>
      <c r="S10" s="9">
        <v>21</v>
      </c>
      <c r="T10" s="9">
        <v>20</v>
      </c>
      <c r="U10" s="9">
        <v>20</v>
      </c>
      <c r="V10" s="9">
        <v>20</v>
      </c>
      <c r="W10" s="9">
        <v>19</v>
      </c>
      <c r="X10" s="9">
        <v>20</v>
      </c>
      <c r="Y10" s="9">
        <v>20</v>
      </c>
      <c r="Z10" s="9">
        <v>20</v>
      </c>
      <c r="AA10" s="9">
        <v>18</v>
      </c>
      <c r="AB10" s="9">
        <v>22</v>
      </c>
      <c r="AC10" s="9">
        <v>18</v>
      </c>
      <c r="AD10" s="9">
        <v>21</v>
      </c>
      <c r="AE10" s="9">
        <v>21</v>
      </c>
      <c r="AF10" s="9">
        <v>20</v>
      </c>
      <c r="AG10" s="9">
        <v>22</v>
      </c>
      <c r="AH10" s="9">
        <v>19</v>
      </c>
      <c r="AI10" s="9">
        <v>20</v>
      </c>
      <c r="AJ10" s="9">
        <v>21</v>
      </c>
      <c r="AK10" s="9">
        <v>18</v>
      </c>
      <c r="AL10" s="9">
        <v>20</v>
      </c>
      <c r="AM10" s="9">
        <v>20</v>
      </c>
      <c r="AN10" s="9">
        <v>20</v>
      </c>
      <c r="AO10" s="9">
        <v>18</v>
      </c>
      <c r="AP10" s="9">
        <v>19</v>
      </c>
      <c r="AQ10" s="9">
        <v>20</v>
      </c>
      <c r="AR10" s="9">
        <v>21</v>
      </c>
      <c r="AS10" s="9">
        <v>21</v>
      </c>
      <c r="AT10" s="9">
        <v>20</v>
      </c>
      <c r="AU10" s="9">
        <v>23</v>
      </c>
      <c r="AV10" s="9">
        <v>21</v>
      </c>
      <c r="AW10" s="9">
        <v>19</v>
      </c>
      <c r="AX10" s="9">
        <v>20</v>
      </c>
      <c r="AY10" s="9">
        <v>18</v>
      </c>
      <c r="AZ10" s="9">
        <v>20</v>
      </c>
      <c r="BA10" s="9">
        <v>19</v>
      </c>
      <c r="BB10" s="9">
        <v>19</v>
      </c>
      <c r="BC10" s="9">
        <v>20</v>
      </c>
      <c r="BD10" s="9">
        <v>22</v>
      </c>
      <c r="BE10" s="9">
        <v>20</v>
      </c>
      <c r="BF10" s="9">
        <v>20</v>
      </c>
      <c r="BG10" s="9">
        <v>22</v>
      </c>
      <c r="BH10" s="9">
        <v>19</v>
      </c>
      <c r="BI10" s="9">
        <v>21</v>
      </c>
      <c r="BJ10" s="9">
        <v>19</v>
      </c>
      <c r="BK10" s="9">
        <v>17</v>
      </c>
      <c r="BL10" s="9">
        <v>21</v>
      </c>
      <c r="BM10" s="9">
        <v>19</v>
      </c>
      <c r="BN10" s="9">
        <v>18</v>
      </c>
      <c r="BO10" s="9">
        <v>21</v>
      </c>
      <c r="BP10" s="9">
        <v>21</v>
      </c>
      <c r="BQ10" s="9">
        <v>20</v>
      </c>
      <c r="BR10" s="9">
        <v>22</v>
      </c>
      <c r="BS10" s="9">
        <v>21</v>
      </c>
      <c r="BT10" s="9">
        <v>20</v>
      </c>
      <c r="BU10" s="9">
        <v>21</v>
      </c>
      <c r="BV10" s="9">
        <v>19</v>
      </c>
      <c r="BW10" s="9">
        <v>19</v>
      </c>
      <c r="BX10" s="9">
        <v>21</v>
      </c>
      <c r="BY10" s="9">
        <v>17</v>
      </c>
      <c r="BZ10" s="9">
        <v>20</v>
      </c>
      <c r="CA10" s="9">
        <v>20</v>
      </c>
      <c r="CB10" s="9">
        <v>21</v>
      </c>
      <c r="CC10" s="9">
        <v>20</v>
      </c>
      <c r="CD10" s="9">
        <v>22</v>
      </c>
      <c r="CE10" s="9">
        <v>21</v>
      </c>
      <c r="CF10" s="9">
        <v>21</v>
      </c>
      <c r="CG10" s="9">
        <v>20</v>
      </c>
      <c r="CH10" s="9">
        <v>18</v>
      </c>
      <c r="CI10" s="9">
        <v>20</v>
      </c>
      <c r="CJ10" s="9">
        <v>23</v>
      </c>
      <c r="CK10" s="9">
        <v>15</v>
      </c>
      <c r="CL10" s="9">
        <v>20</v>
      </c>
      <c r="CM10" s="9">
        <v>20</v>
      </c>
      <c r="CN10" s="9">
        <v>21</v>
      </c>
      <c r="CO10" s="9">
        <v>22</v>
      </c>
      <c r="CP10" s="9">
        <v>20</v>
      </c>
      <c r="CQ10" s="9">
        <v>21</v>
      </c>
      <c r="CR10" s="9">
        <v>22</v>
      </c>
      <c r="CS10" s="9">
        <v>19</v>
      </c>
      <c r="CT10" s="9">
        <v>20</v>
      </c>
      <c r="CU10" s="9">
        <v>18</v>
      </c>
      <c r="CV10" s="9">
        <v>21</v>
      </c>
      <c r="CW10" s="9">
        <v>19</v>
      </c>
      <c r="CX10" s="9">
        <v>20</v>
      </c>
      <c r="CY10" s="9">
        <v>20</v>
      </c>
      <c r="CZ10" s="9">
        <v>21</v>
      </c>
      <c r="DA10" s="9">
        <v>22</v>
      </c>
      <c r="DB10" s="9">
        <v>20</v>
      </c>
      <c r="DC10" s="9">
        <v>21</v>
      </c>
      <c r="DD10" s="9">
        <v>21</v>
      </c>
      <c r="DE10" s="9">
        <v>17</v>
      </c>
      <c r="DF10" s="9">
        <v>20</v>
      </c>
      <c r="DG10" s="9">
        <v>18</v>
      </c>
      <c r="DH10" s="9">
        <v>18</v>
      </c>
      <c r="DI10" s="9">
        <v>19</v>
      </c>
      <c r="DJ10" s="9">
        <v>20</v>
      </c>
      <c r="DK10" s="9">
        <v>19</v>
      </c>
      <c r="DL10" s="9">
        <v>22</v>
      </c>
      <c r="DM10" s="9">
        <v>21</v>
      </c>
      <c r="DN10" s="9">
        <v>20</v>
      </c>
      <c r="DO10" s="9">
        <v>23</v>
      </c>
      <c r="DP10" s="9">
        <v>19</v>
      </c>
      <c r="DQ10" s="9">
        <v>19</v>
      </c>
      <c r="DR10" s="9">
        <v>20</v>
      </c>
      <c r="DS10" s="9">
        <v>18</v>
      </c>
      <c r="DT10" s="9">
        <v>20</v>
      </c>
      <c r="DU10" s="9">
        <v>18</v>
      </c>
      <c r="DV10" s="9">
        <v>18</v>
      </c>
      <c r="DW10" s="9">
        <v>21</v>
      </c>
      <c r="DX10" s="9">
        <v>23</v>
      </c>
      <c r="DY10" s="9">
        <v>20</v>
      </c>
      <c r="DZ10" s="9">
        <v>21</v>
      </c>
      <c r="EA10" s="9">
        <v>21</v>
      </c>
      <c r="EB10" s="9">
        <v>19</v>
      </c>
      <c r="EC10" s="9">
        <v>21</v>
      </c>
      <c r="ED10" s="9">
        <v>19</v>
      </c>
      <c r="EE10" s="9">
        <v>17</v>
      </c>
      <c r="EF10" s="9">
        <v>23</v>
      </c>
      <c r="EG10" s="9">
        <v>17</v>
      </c>
      <c r="EH10" s="9">
        <v>18</v>
      </c>
      <c r="EI10" s="9">
        <v>21</v>
      </c>
      <c r="EJ10" s="9">
        <v>21</v>
      </c>
      <c r="EK10" s="9">
        <v>22</v>
      </c>
      <c r="EL10" s="9">
        <v>21</v>
      </c>
      <c r="EM10" s="9">
        <v>20</v>
      </c>
      <c r="EN10" s="9">
        <v>20</v>
      </c>
      <c r="EO10" s="9">
        <v>21</v>
      </c>
      <c r="EP10" s="9">
        <v>18</v>
      </c>
      <c r="EQ10" s="9">
        <v>18</v>
      </c>
      <c r="ER10" s="9">
        <v>21</v>
      </c>
      <c r="ES10" s="9">
        <v>18</v>
      </c>
      <c r="ET10" s="10">
        <v>19</v>
      </c>
      <c r="EU10" s="9">
        <v>21</v>
      </c>
      <c r="EV10" s="9">
        <v>20</v>
      </c>
      <c r="EW10" s="9">
        <v>22</v>
      </c>
      <c r="EX10" s="9">
        <v>22</v>
      </c>
      <c r="EY10" s="9">
        <v>20</v>
      </c>
      <c r="EZ10" s="9">
        <v>19</v>
      </c>
      <c r="FA10" s="9">
        <v>20</v>
      </c>
      <c r="FB10" s="9">
        <v>19</v>
      </c>
      <c r="FC10" s="9">
        <v>19</v>
      </c>
      <c r="FD10" s="10">
        <v>22</v>
      </c>
      <c r="FE10" s="9">
        <v>16</v>
      </c>
      <c r="FF10" s="9">
        <v>20</v>
      </c>
      <c r="FG10" s="9">
        <v>22</v>
      </c>
      <c r="FH10" s="14">
        <v>20</v>
      </c>
      <c r="FI10" s="14">
        <v>22</v>
      </c>
      <c r="FJ10" s="14">
        <v>20</v>
      </c>
      <c r="FK10" s="10">
        <v>20</v>
      </c>
      <c r="FL10" s="10">
        <v>22</v>
      </c>
      <c r="FM10" s="14">
        <v>19</v>
      </c>
      <c r="FN10" s="9">
        <v>20</v>
      </c>
      <c r="FO10" s="9">
        <v>17</v>
      </c>
      <c r="FP10" s="10">
        <v>22</v>
      </c>
      <c r="FQ10" s="10">
        <v>16</v>
      </c>
      <c r="FR10" s="10">
        <v>20</v>
      </c>
      <c r="FS10" s="9">
        <v>21</v>
      </c>
      <c r="FT10" s="9">
        <v>22</v>
      </c>
      <c r="FU10" s="9">
        <v>22</v>
      </c>
      <c r="FV10" s="9">
        <v>19</v>
      </c>
      <c r="FW10" s="9">
        <v>22</v>
      </c>
      <c r="FX10" s="9">
        <v>21</v>
      </c>
      <c r="FY10" s="9">
        <v>19</v>
      </c>
      <c r="FZ10" s="9">
        <v>20</v>
      </c>
      <c r="GA10" s="9">
        <v>19</v>
      </c>
      <c r="GB10" s="9">
        <v>18</v>
      </c>
      <c r="GC10" s="9">
        <v>19</v>
      </c>
      <c r="GD10" s="9">
        <v>19</v>
      </c>
      <c r="GE10" s="9">
        <v>20</v>
      </c>
      <c r="GF10" s="9">
        <v>22</v>
      </c>
      <c r="GG10" s="9">
        <v>21</v>
      </c>
      <c r="GH10" s="9">
        <v>22</v>
      </c>
      <c r="GI10" s="9">
        <v>20</v>
      </c>
      <c r="GJ10" s="9">
        <v>19</v>
      </c>
      <c r="GK10" s="9">
        <v>19</v>
      </c>
      <c r="GL10" s="9">
        <v>20</v>
      </c>
      <c r="GM10" s="9">
        <v>17</v>
      </c>
      <c r="GN10" s="9">
        <v>21</v>
      </c>
      <c r="GO10" s="9">
        <v>18</v>
      </c>
      <c r="GP10" s="9">
        <v>18</v>
      </c>
      <c r="GQ10" s="9">
        <v>22</v>
      </c>
      <c r="GR10" s="9">
        <v>22</v>
      </c>
      <c r="GS10" s="9">
        <v>20</v>
      </c>
      <c r="GT10" s="9">
        <v>20</v>
      </c>
      <c r="GU10" s="9">
        <v>22</v>
      </c>
      <c r="GV10" s="9">
        <v>20</v>
      </c>
      <c r="GW10" s="9">
        <v>20</v>
      </c>
      <c r="GX10" s="9">
        <v>17</v>
      </c>
      <c r="GY10" s="9">
        <v>19</v>
      </c>
      <c r="GZ10" s="9">
        <v>22</v>
      </c>
      <c r="HA10" s="9">
        <v>17</v>
      </c>
      <c r="HB10" s="9">
        <v>19</v>
      </c>
      <c r="HC10" s="10">
        <v>20</v>
      </c>
      <c r="HD10" s="9">
        <v>22</v>
      </c>
      <c r="HE10" s="9">
        <v>21</v>
      </c>
      <c r="HF10" s="9">
        <v>20</v>
      </c>
      <c r="HG10" s="10">
        <v>20</v>
      </c>
      <c r="HH10" s="10">
        <v>19</v>
      </c>
      <c r="HI10" s="10">
        <v>22</v>
      </c>
      <c r="HJ10" s="9">
        <v>20</v>
      </c>
      <c r="HK10" s="9">
        <v>17</v>
      </c>
      <c r="HL10" s="9">
        <v>22</v>
      </c>
      <c r="HM10" s="9">
        <v>17</v>
      </c>
      <c r="HN10" s="9">
        <v>19</v>
      </c>
      <c r="HO10" s="9">
        <v>21</v>
      </c>
      <c r="HP10" s="9">
        <v>20</v>
      </c>
      <c r="HQ10" s="9">
        <v>22</v>
      </c>
      <c r="HR10" s="9">
        <v>21</v>
      </c>
      <c r="HS10" s="9">
        <v>19</v>
      </c>
      <c r="HT10" s="9">
        <v>20</v>
      </c>
      <c r="HU10" s="9">
        <v>21</v>
      </c>
      <c r="HV10" s="9">
        <v>21</v>
      </c>
      <c r="HW10" s="9">
        <v>18</v>
      </c>
      <c r="HX10" s="9">
        <v>21</v>
      </c>
      <c r="HY10" s="9">
        <v>18</v>
      </c>
      <c r="HZ10" s="9">
        <v>21</v>
      </c>
      <c r="IA10" s="9">
        <v>20</v>
      </c>
      <c r="IB10" s="9">
        <v>21</v>
      </c>
      <c r="IC10" s="9">
        <v>21</v>
      </c>
      <c r="ID10" s="9">
        <v>20</v>
      </c>
      <c r="IE10" s="9">
        <v>22</v>
      </c>
      <c r="IF10" s="9">
        <v>20</v>
      </c>
      <c r="IG10" s="9">
        <v>19</v>
      </c>
      <c r="IH10" s="15">
        <v>20</v>
      </c>
      <c r="II10" s="15">
        <v>18</v>
      </c>
      <c r="IJ10" s="15">
        <v>19</v>
      </c>
      <c r="IK10" s="9">
        <v>20</v>
      </c>
      <c r="IL10" s="9">
        <v>21</v>
      </c>
      <c r="IM10" s="9">
        <v>20</v>
      </c>
      <c r="IN10" s="9">
        <v>22</v>
      </c>
      <c r="IO10" s="9">
        <v>20</v>
      </c>
      <c r="IP10" s="9">
        <v>20</v>
      </c>
      <c r="IQ10" s="9">
        <v>21</v>
      </c>
      <c r="IR10" s="9">
        <v>21</v>
      </c>
      <c r="IS10" s="9">
        <v>20</v>
      </c>
      <c r="IT10" s="9">
        <v>20</v>
      </c>
      <c r="IU10" s="9">
        <v>17</v>
      </c>
      <c r="IV10" s="9">
        <v>21</v>
      </c>
      <c r="IW10" s="9">
        <v>19</v>
      </c>
      <c r="IX10" s="9">
        <v>19</v>
      </c>
      <c r="IY10" s="9">
        <v>20</v>
      </c>
      <c r="IZ10" s="9">
        <v>22</v>
      </c>
      <c r="JA10" s="14">
        <v>21</v>
      </c>
      <c r="JB10" s="42">
        <v>21</v>
      </c>
      <c r="JC10" s="42">
        <v>20</v>
      </c>
      <c r="JD10" s="42">
        <v>19</v>
      </c>
      <c r="JE10" s="14">
        <v>22</v>
      </c>
      <c r="JF10" s="14">
        <v>18</v>
      </c>
      <c r="JG10" s="14">
        <v>17</v>
      </c>
      <c r="JH10" s="14">
        <v>21</v>
      </c>
      <c r="JI10" s="9">
        <v>19</v>
      </c>
      <c r="JJ10" s="9">
        <v>19</v>
      </c>
      <c r="JK10" s="9">
        <v>21</v>
      </c>
      <c r="JL10" s="9">
        <v>21</v>
      </c>
      <c r="JM10" s="9">
        <v>21</v>
      </c>
      <c r="JN10" s="9">
        <v>21</v>
      </c>
      <c r="JO10" s="9">
        <v>21</v>
      </c>
      <c r="JP10" s="9">
        <v>19</v>
      </c>
      <c r="JQ10" s="9">
        <v>21</v>
      </c>
      <c r="JR10" s="9">
        <v>19</v>
      </c>
      <c r="JS10" s="9">
        <v>19</v>
      </c>
      <c r="JT10" s="9">
        <v>20</v>
      </c>
      <c r="JU10" s="9">
        <v>18</v>
      </c>
      <c r="JV10" s="9">
        <v>20</v>
      </c>
      <c r="JW10" s="52">
        <v>22</v>
      </c>
      <c r="JX10" s="59">
        <v>19</v>
      </c>
      <c r="JY10" s="59">
        <v>22</v>
      </c>
      <c r="JZ10" s="59">
        <v>20</v>
      </c>
      <c r="KA10" s="59">
        <v>21</v>
      </c>
      <c r="KB10" s="59">
        <v>21</v>
      </c>
      <c r="KC10" s="59">
        <v>19</v>
      </c>
      <c r="KD10" s="59">
        <v>21</v>
      </c>
      <c r="KE10" s="59">
        <v>18</v>
      </c>
      <c r="KF10" s="59">
        <v>23</v>
      </c>
      <c r="KG10" s="59">
        <v>17</v>
      </c>
      <c r="KH10" s="59">
        <v>20</v>
      </c>
      <c r="KI10" s="59">
        <v>20</v>
      </c>
      <c r="KJ10" s="59">
        <v>21</v>
      </c>
      <c r="KK10" s="59">
        <v>22</v>
      </c>
      <c r="KL10" s="87">
        <v>19</v>
      </c>
      <c r="KM10" s="96">
        <v>20</v>
      </c>
      <c r="KN10" s="96">
        <v>21</v>
      </c>
      <c r="KO10" s="96">
        <v>19</v>
      </c>
      <c r="KP10" s="96">
        <v>20</v>
      </c>
      <c r="KQ10" s="96">
        <v>18</v>
      </c>
      <c r="KR10" s="96">
        <v>20</v>
      </c>
      <c r="KS10" s="96">
        <v>19</v>
      </c>
      <c r="KT10" s="96">
        <v>21</v>
      </c>
      <c r="KU10" s="96">
        <v>19</v>
      </c>
      <c r="KV10" s="96">
        <v>21</v>
      </c>
      <c r="KW10" s="96">
        <v>22</v>
      </c>
      <c r="KX10" s="96">
        <v>19</v>
      </c>
      <c r="KY10" s="96">
        <v>22</v>
      </c>
      <c r="KZ10" s="96">
        <v>19</v>
      </c>
      <c r="LA10" s="105">
        <v>20</v>
      </c>
      <c r="LB10" s="96">
        <v>21</v>
      </c>
      <c r="LC10" s="96">
        <v>18</v>
      </c>
      <c r="LD10" s="96">
        <v>19</v>
      </c>
      <c r="LE10" s="96">
        <v>19</v>
      </c>
      <c r="LF10" s="96">
        <v>21</v>
      </c>
      <c r="LG10" s="96">
        <v>19</v>
      </c>
      <c r="LH10" s="96">
        <v>22</v>
      </c>
      <c r="LI10" s="96">
        <v>20</v>
      </c>
      <c r="LJ10" s="96">
        <v>20</v>
      </c>
      <c r="LK10" s="96">
        <v>23</v>
      </c>
      <c r="LL10" s="96">
        <v>19</v>
      </c>
      <c r="LM10" s="96">
        <v>20</v>
      </c>
      <c r="LN10" s="96">
        <v>20</v>
      </c>
      <c r="LO10" s="96">
        <v>18</v>
      </c>
      <c r="LP10" s="96">
        <v>10</v>
      </c>
      <c r="LQ10" s="218"/>
      <c r="LR10" s="96">
        <v>14</v>
      </c>
      <c r="LS10" s="96">
        <v>21</v>
      </c>
      <c r="LT10" s="111">
        <v>23</v>
      </c>
      <c r="LU10" s="2">
        <v>20</v>
      </c>
      <c r="LV10" s="120">
        <v>21</v>
      </c>
      <c r="LW10" s="96">
        <v>20</v>
      </c>
      <c r="LX10" s="96">
        <v>21</v>
      </c>
      <c r="LY10" s="96">
        <v>21</v>
      </c>
      <c r="LZ10" s="132">
        <v>18</v>
      </c>
      <c r="MA10" s="132">
        <v>18</v>
      </c>
      <c r="MB10" s="96">
        <v>22</v>
      </c>
      <c r="MC10" s="96">
        <v>18</v>
      </c>
      <c r="MD10" s="96">
        <v>18</v>
      </c>
      <c r="ME10" s="96">
        <v>18</v>
      </c>
      <c r="MF10" s="96">
        <v>20</v>
      </c>
      <c r="MG10" s="96">
        <v>22</v>
      </c>
      <c r="MH10" s="96">
        <v>21</v>
      </c>
      <c r="MI10" s="96">
        <v>19</v>
      </c>
      <c r="MJ10" s="96">
        <v>20</v>
      </c>
      <c r="MK10" s="96">
        <v>23</v>
      </c>
      <c r="ML10" s="2">
        <v>19</v>
      </c>
      <c r="MM10" s="96">
        <v>18</v>
      </c>
      <c r="MN10" s="140">
        <v>21</v>
      </c>
      <c r="MO10" s="96">
        <v>11</v>
      </c>
      <c r="MP10" s="96">
        <v>17</v>
      </c>
      <c r="MQ10" s="96">
        <v>21</v>
      </c>
      <c r="MR10" s="151">
        <v>20</v>
      </c>
      <c r="MS10" s="152">
        <v>22</v>
      </c>
      <c r="MT10" s="152">
        <v>22</v>
      </c>
      <c r="MU10" s="152">
        <v>19</v>
      </c>
      <c r="MV10" s="152">
        <v>21</v>
      </c>
      <c r="MW10" s="153">
        <v>20</v>
      </c>
      <c r="MX10" s="96">
        <v>20</v>
      </c>
      <c r="MY10" s="96">
        <v>22</v>
      </c>
      <c r="MZ10" s="96">
        <v>20</v>
      </c>
      <c r="NA10" s="96">
        <v>16</v>
      </c>
      <c r="NB10" s="96">
        <v>21</v>
      </c>
      <c r="NC10" s="105">
        <v>20</v>
      </c>
      <c r="ND10" s="96">
        <v>20</v>
      </c>
      <c r="NE10" s="96">
        <v>21</v>
      </c>
      <c r="NF10" s="96">
        <v>19</v>
      </c>
      <c r="NG10" s="2">
        <v>22</v>
      </c>
      <c r="NH10" s="178">
        <v>22</v>
      </c>
      <c r="NI10" s="2">
        <v>19</v>
      </c>
      <c r="NJ10" s="96">
        <v>20</v>
      </c>
      <c r="NK10" s="96">
        <v>19</v>
      </c>
      <c r="NL10" s="96">
        <v>19</v>
      </c>
      <c r="NM10" s="151">
        <v>19</v>
      </c>
      <c r="NN10" s="152">
        <v>20</v>
      </c>
      <c r="NO10" s="186">
        <v>18</v>
      </c>
      <c r="NP10" s="152">
        <v>23</v>
      </c>
      <c r="NQ10" s="152">
        <v>21</v>
      </c>
      <c r="NR10" s="186">
        <v>19</v>
      </c>
      <c r="NS10" s="152">
        <v>21</v>
      </c>
      <c r="NT10" s="152">
        <v>20</v>
      </c>
      <c r="NU10" s="153">
        <v>21</v>
      </c>
      <c r="NV10" s="2">
        <v>20</v>
      </c>
      <c r="NW10" s="2">
        <v>19</v>
      </c>
      <c r="NX10" s="2">
        <v>19</v>
      </c>
      <c r="NY10" s="2">
        <v>19</v>
      </c>
      <c r="NZ10" s="2">
        <v>19</v>
      </c>
      <c r="OA10" s="2">
        <v>20</v>
      </c>
      <c r="OB10" s="2">
        <v>22</v>
      </c>
      <c r="OC10" s="2">
        <v>20</v>
      </c>
      <c r="OD10" s="2">
        <v>21</v>
      </c>
      <c r="OE10" s="2">
        <v>21</v>
      </c>
      <c r="OF10" s="2">
        <v>19</v>
      </c>
      <c r="OG10" s="140">
        <v>21</v>
      </c>
    </row>
    <row r="11" spans="1:397" s="2" customFormat="1" ht="15" customHeight="1" x14ac:dyDescent="0.25">
      <c r="A11" s="26" t="s">
        <v>5</v>
      </c>
      <c r="B11" s="9">
        <v>20156415</v>
      </c>
      <c r="C11" s="9">
        <v>16118604</v>
      </c>
      <c r="D11" s="9">
        <v>21493197</v>
      </c>
      <c r="E11" s="9">
        <v>21555474</v>
      </c>
      <c r="F11" s="9">
        <v>30335962</v>
      </c>
      <c r="G11" s="9">
        <v>60288651</v>
      </c>
      <c r="H11" s="9">
        <v>101227932</v>
      </c>
      <c r="I11" s="9">
        <v>100807068</v>
      </c>
      <c r="J11" s="9">
        <v>91073876</v>
      </c>
      <c r="K11" s="9">
        <v>91960790</v>
      </c>
      <c r="L11" s="9">
        <v>180521062</v>
      </c>
      <c r="M11" s="9">
        <v>160469054</v>
      </c>
      <c r="N11" s="9">
        <v>236835398</v>
      </c>
      <c r="O11" s="9">
        <v>306129614</v>
      </c>
      <c r="P11" s="9">
        <v>237736936</v>
      </c>
      <c r="Q11" s="9">
        <v>131636982</v>
      </c>
      <c r="R11" s="9">
        <v>87990677</v>
      </c>
      <c r="S11" s="9">
        <v>111174091</v>
      </c>
      <c r="T11" s="9">
        <v>104123614</v>
      </c>
      <c r="U11" s="9">
        <v>111180678</v>
      </c>
      <c r="V11" s="9">
        <v>197968822</v>
      </c>
      <c r="W11" s="9">
        <v>88350486</v>
      </c>
      <c r="X11" s="9">
        <v>79024256</v>
      </c>
      <c r="Y11" s="9">
        <v>74737615</v>
      </c>
      <c r="Z11" s="9">
        <v>45284422</v>
      </c>
      <c r="AA11" s="9">
        <v>56932667</v>
      </c>
      <c r="AB11" s="9">
        <v>73070148</v>
      </c>
      <c r="AC11" s="9">
        <v>39036359</v>
      </c>
      <c r="AD11" s="9">
        <v>58558382</v>
      </c>
      <c r="AE11" s="9">
        <v>57046172</v>
      </c>
      <c r="AF11" s="9">
        <v>42182593</v>
      </c>
      <c r="AG11" s="9">
        <v>57659403</v>
      </c>
      <c r="AH11" s="9">
        <v>29113729</v>
      </c>
      <c r="AI11" s="9">
        <v>19124223</v>
      </c>
      <c r="AJ11" s="9">
        <v>37599155</v>
      </c>
      <c r="AK11" s="9">
        <v>44438660</v>
      </c>
      <c r="AL11" s="9">
        <v>43885227</v>
      </c>
      <c r="AM11" s="9">
        <v>45401791</v>
      </c>
      <c r="AN11" s="9">
        <v>47044553</v>
      </c>
      <c r="AO11" s="9">
        <v>25752231</v>
      </c>
      <c r="AP11" s="9">
        <v>15820856</v>
      </c>
      <c r="AQ11" s="9">
        <v>18840323</v>
      </c>
      <c r="AR11" s="9">
        <v>11745663</v>
      </c>
      <c r="AS11" s="9">
        <v>14586616</v>
      </c>
      <c r="AT11" s="9">
        <v>25293692</v>
      </c>
      <c r="AU11" s="9">
        <v>35108642</v>
      </c>
      <c r="AV11" s="9">
        <v>42213364</v>
      </c>
      <c r="AW11" s="9">
        <v>41172754</v>
      </c>
      <c r="AX11" s="9">
        <v>37637073</v>
      </c>
      <c r="AY11" s="9">
        <v>24738243</v>
      </c>
      <c r="AZ11" s="9">
        <v>49826906</v>
      </c>
      <c r="BA11" s="9">
        <v>118031985</v>
      </c>
      <c r="BB11" s="9">
        <v>105114540</v>
      </c>
      <c r="BC11" s="9">
        <v>107967565</v>
      </c>
      <c r="BD11" s="9">
        <v>94036378</v>
      </c>
      <c r="BE11" s="9">
        <v>90146209</v>
      </c>
      <c r="BF11" s="9">
        <v>65043784</v>
      </c>
      <c r="BG11" s="9">
        <v>75863167</v>
      </c>
      <c r="BH11" s="9">
        <v>67279120</v>
      </c>
      <c r="BI11" s="9">
        <v>63316882</v>
      </c>
      <c r="BJ11" s="9">
        <v>73615432</v>
      </c>
      <c r="BK11" s="9">
        <v>100469467</v>
      </c>
      <c r="BL11" s="9">
        <v>71285109</v>
      </c>
      <c r="BM11" s="9">
        <v>94550758</v>
      </c>
      <c r="BN11" s="9">
        <v>155561567</v>
      </c>
      <c r="BO11" s="9">
        <v>94458231</v>
      </c>
      <c r="BP11" s="9">
        <v>74428722</v>
      </c>
      <c r="BQ11" s="9">
        <v>65043784</v>
      </c>
      <c r="BR11" s="9">
        <v>42602531</v>
      </c>
      <c r="BS11" s="9">
        <v>35352344</v>
      </c>
      <c r="BT11" s="9">
        <v>91059718</v>
      </c>
      <c r="BU11" s="9">
        <v>33192533</v>
      </c>
      <c r="BV11" s="9">
        <v>51387497</v>
      </c>
      <c r="BW11" s="9">
        <v>34099588</v>
      </c>
      <c r="BX11" s="9">
        <v>34296111</v>
      </c>
      <c r="BY11" s="9">
        <v>29138311</v>
      </c>
      <c r="BZ11" s="9">
        <v>94989227</v>
      </c>
      <c r="CA11" s="9">
        <v>52167287</v>
      </c>
      <c r="CB11" s="9">
        <v>101009451</v>
      </c>
      <c r="CC11" s="9">
        <v>70684861</v>
      </c>
      <c r="CD11" s="9">
        <v>55624892</v>
      </c>
      <c r="CE11" s="9">
        <v>57981703</v>
      </c>
      <c r="CF11" s="9">
        <v>73310487</v>
      </c>
      <c r="CG11" s="9">
        <v>77201267</v>
      </c>
      <c r="CH11" s="9">
        <v>44540981</v>
      </c>
      <c r="CI11" s="9">
        <v>68241983</v>
      </c>
      <c r="CJ11" s="9">
        <v>51898444</v>
      </c>
      <c r="CK11" s="9">
        <v>44417214</v>
      </c>
      <c r="CL11" s="9">
        <v>54658885</v>
      </c>
      <c r="CM11" s="9">
        <v>93166588</v>
      </c>
      <c r="CN11" s="9">
        <v>75548082</v>
      </c>
      <c r="CO11" s="9">
        <v>25566149</v>
      </c>
      <c r="CP11" s="9">
        <v>25083164</v>
      </c>
      <c r="CQ11" s="9">
        <v>25116264</v>
      </c>
      <c r="CR11" s="9">
        <v>20819242</v>
      </c>
      <c r="CS11" s="9">
        <v>22648411</v>
      </c>
      <c r="CT11" s="9">
        <v>32414812</v>
      </c>
      <c r="CU11" s="9">
        <v>20110417</v>
      </c>
      <c r="CV11" s="9">
        <v>20978838</v>
      </c>
      <c r="CW11" s="9">
        <v>20787518</v>
      </c>
      <c r="CX11" s="9">
        <f t="shared" ref="CX11:DD11" si="1">CX7/CX10</f>
        <v>27296224.75</v>
      </c>
      <c r="CY11" s="9">
        <f t="shared" si="1"/>
        <v>32890958.199999999</v>
      </c>
      <c r="CZ11" s="9">
        <f t="shared" si="1"/>
        <v>14231083.333333334</v>
      </c>
      <c r="DA11" s="9">
        <f t="shared" si="1"/>
        <v>64798239.136363633</v>
      </c>
      <c r="DB11" s="9">
        <f t="shared" si="1"/>
        <v>26392840.550000001</v>
      </c>
      <c r="DC11" s="9">
        <f t="shared" si="1"/>
        <v>114027296.23809524</v>
      </c>
      <c r="DD11" s="9">
        <f t="shared" si="1"/>
        <v>93753121.333333328</v>
      </c>
      <c r="DE11" s="9">
        <v>258338552</v>
      </c>
      <c r="DF11" s="9">
        <v>66593089</v>
      </c>
      <c r="DG11" s="9">
        <v>77000745</v>
      </c>
      <c r="DH11" s="9">
        <v>137102833</v>
      </c>
      <c r="DI11" s="9">
        <v>67624681</v>
      </c>
      <c r="DJ11" s="9">
        <v>164310957</v>
      </c>
      <c r="DK11" s="9">
        <v>273935251</v>
      </c>
      <c r="DL11" s="9">
        <v>90636026</v>
      </c>
      <c r="DM11" s="9">
        <v>145344017</v>
      </c>
      <c r="DN11" s="9">
        <v>254190950</v>
      </c>
      <c r="DO11" s="9">
        <v>127539302</v>
      </c>
      <c r="DP11" s="9">
        <v>72961739</v>
      </c>
      <c r="DQ11" s="9">
        <f>DQ7/DQ10</f>
        <v>58526103.421052635</v>
      </c>
      <c r="DR11" s="9">
        <v>97079313</v>
      </c>
      <c r="DS11" s="9">
        <v>55372506</v>
      </c>
      <c r="DT11" s="9">
        <v>77994681</v>
      </c>
      <c r="DU11" s="9">
        <v>129591083</v>
      </c>
      <c r="DV11" s="9">
        <v>267916178</v>
      </c>
      <c r="DW11" s="9">
        <v>500726585</v>
      </c>
      <c r="DX11" s="9">
        <v>228589134</v>
      </c>
      <c r="DY11" s="9">
        <v>255476383</v>
      </c>
      <c r="DZ11" s="9">
        <v>787184948</v>
      </c>
      <c r="EA11" s="9">
        <v>647183176</v>
      </c>
      <c r="EB11" s="9">
        <v>394161475</v>
      </c>
      <c r="EC11" s="9">
        <v>175777123</v>
      </c>
      <c r="ED11" s="9">
        <v>239707541</v>
      </c>
      <c r="EE11" s="9">
        <v>231579754</v>
      </c>
      <c r="EF11" s="9">
        <v>174932365</v>
      </c>
      <c r="EG11" s="9">
        <v>205095324</v>
      </c>
      <c r="EH11" s="9">
        <v>206984678</v>
      </c>
      <c r="EI11" s="9">
        <v>245632125</v>
      </c>
      <c r="EJ11" s="9">
        <v>449796805</v>
      </c>
      <c r="EK11" s="9">
        <v>266171719</v>
      </c>
      <c r="EL11" s="9">
        <v>265033744</v>
      </c>
      <c r="EM11" s="9">
        <v>280773841</v>
      </c>
      <c r="EN11" s="9">
        <v>180493333</v>
      </c>
      <c r="EO11" s="9">
        <v>201484046</v>
      </c>
      <c r="EP11" s="9">
        <v>353440380</v>
      </c>
      <c r="EQ11" s="9">
        <v>447342845</v>
      </c>
      <c r="ER11" s="9">
        <v>629207852</v>
      </c>
      <c r="ES11" s="9">
        <v>468113645</v>
      </c>
      <c r="ET11" s="9">
        <v>541755644</v>
      </c>
      <c r="EU11" s="9">
        <v>224363754</v>
      </c>
      <c r="EV11" s="9">
        <v>396212911</v>
      </c>
      <c r="EW11" s="9">
        <v>551939764</v>
      </c>
      <c r="EX11" s="9">
        <v>606935719</v>
      </c>
      <c r="EY11" s="9">
        <v>678274966</v>
      </c>
      <c r="EZ11" s="9">
        <v>609358398</v>
      </c>
      <c r="FA11" s="9">
        <v>248893956</v>
      </c>
      <c r="FB11" s="9">
        <v>415625677</v>
      </c>
      <c r="FC11" s="9">
        <v>387744522</v>
      </c>
      <c r="FD11" s="9">
        <v>516454555</v>
      </c>
      <c r="FE11" s="9">
        <v>389093560</v>
      </c>
      <c r="FF11" s="9">
        <v>208904128</v>
      </c>
      <c r="FG11" s="9">
        <v>327643325</v>
      </c>
      <c r="FH11" s="14">
        <v>316911758</v>
      </c>
      <c r="FI11" s="14">
        <v>258754728</v>
      </c>
      <c r="FJ11" s="14">
        <v>365222034</v>
      </c>
      <c r="FK11" s="9">
        <v>508652060</v>
      </c>
      <c r="FL11" s="9">
        <v>1101641320</v>
      </c>
      <c r="FM11" s="14">
        <v>377451184</v>
      </c>
      <c r="FN11" s="9">
        <v>746773772</v>
      </c>
      <c r="FO11" s="9">
        <v>839532592</v>
      </c>
      <c r="FP11" s="9">
        <v>442305624</v>
      </c>
      <c r="FQ11" s="9">
        <v>264693329</v>
      </c>
      <c r="FR11" s="9">
        <v>626841681</v>
      </c>
      <c r="FS11" s="9">
        <v>251999758</v>
      </c>
      <c r="FT11" s="9">
        <v>113658387</v>
      </c>
      <c r="FU11" s="9">
        <v>356348680</v>
      </c>
      <c r="FV11" s="9">
        <v>448860878</v>
      </c>
      <c r="FW11" s="9">
        <v>486542415</v>
      </c>
      <c r="FX11" s="9">
        <v>395729513</v>
      </c>
      <c r="FY11" s="9">
        <v>321076571</v>
      </c>
      <c r="FZ11" s="9">
        <v>170928678</v>
      </c>
      <c r="GA11" s="9">
        <v>401331614</v>
      </c>
      <c r="GB11" s="9">
        <v>536355567</v>
      </c>
      <c r="GC11" s="9">
        <v>2437633101</v>
      </c>
      <c r="GD11" s="9">
        <v>286255235</v>
      </c>
      <c r="GE11" s="9">
        <v>293158546</v>
      </c>
      <c r="GF11" s="9">
        <v>617401711</v>
      </c>
      <c r="GG11" s="9">
        <v>301973584</v>
      </c>
      <c r="GH11" s="9">
        <v>185614950</v>
      </c>
      <c r="GI11" s="9">
        <v>174892220</v>
      </c>
      <c r="GJ11" s="9">
        <v>173366604</v>
      </c>
      <c r="GK11" s="9">
        <v>70470845</v>
      </c>
      <c r="GL11" s="9">
        <v>134226474</v>
      </c>
      <c r="GM11" s="9">
        <v>251215669</v>
      </c>
      <c r="GN11" s="9">
        <v>488128027</v>
      </c>
      <c r="GO11" s="9">
        <v>146885302</v>
      </c>
      <c r="GP11" s="9">
        <v>751744961</v>
      </c>
      <c r="GQ11" s="9">
        <v>736257708</v>
      </c>
      <c r="GR11" s="9">
        <v>427768613</v>
      </c>
      <c r="GS11" s="9">
        <v>448793555</v>
      </c>
      <c r="GT11" s="9">
        <v>952074292</v>
      </c>
      <c r="GU11" s="9">
        <v>868586730</v>
      </c>
      <c r="GV11" s="9">
        <v>619427009</v>
      </c>
      <c r="GW11" s="9">
        <v>1197901717</v>
      </c>
      <c r="GX11" s="9">
        <v>1633910562</v>
      </c>
      <c r="GY11" s="9">
        <v>1493508106</v>
      </c>
      <c r="GZ11" s="9">
        <v>1487422392</v>
      </c>
      <c r="HA11" s="9">
        <v>1568271316</v>
      </c>
      <c r="HB11" s="9">
        <v>1813803195</v>
      </c>
      <c r="HC11" s="9">
        <v>2661557538</v>
      </c>
      <c r="HD11" s="9">
        <v>2521378655</v>
      </c>
      <c r="HE11" s="9">
        <v>2580352303</v>
      </c>
      <c r="HF11" s="9">
        <v>4358225706</v>
      </c>
      <c r="HG11" s="9">
        <v>4507506501</v>
      </c>
      <c r="HH11" s="9">
        <v>1636686223</v>
      </c>
      <c r="HI11" s="9">
        <v>1962231449</v>
      </c>
      <c r="HJ11" s="9">
        <v>3769618135</v>
      </c>
      <c r="HK11" s="9">
        <v>3558109133</v>
      </c>
      <c r="HL11" s="9">
        <v>2400810896</v>
      </c>
      <c r="HM11" s="9">
        <v>1829753586</v>
      </c>
      <c r="HN11" s="9">
        <v>2612291368</v>
      </c>
      <c r="HO11" s="9">
        <v>2913622348</v>
      </c>
      <c r="HP11" s="9">
        <v>1726593414</v>
      </c>
      <c r="HQ11" s="9">
        <v>2692890733</v>
      </c>
      <c r="HR11" s="9">
        <v>2763671162</v>
      </c>
      <c r="HS11" s="9">
        <v>1328479639</v>
      </c>
      <c r="HT11" s="9">
        <v>1033183357</v>
      </c>
      <c r="HU11" s="9">
        <v>853096642</v>
      </c>
      <c r="HV11" s="9">
        <v>909611080</v>
      </c>
      <c r="HW11" s="9">
        <v>1636482433</v>
      </c>
      <c r="HX11" s="9">
        <v>1578635422</v>
      </c>
      <c r="HY11" s="9">
        <v>500450255</v>
      </c>
      <c r="HZ11" s="9">
        <v>398757455</v>
      </c>
      <c r="IA11" s="9">
        <v>888101218</v>
      </c>
      <c r="IB11" s="9">
        <v>424342861</v>
      </c>
      <c r="IC11" s="9">
        <v>635211090</v>
      </c>
      <c r="ID11" s="9">
        <v>1674512837</v>
      </c>
      <c r="IE11" s="9">
        <v>671071951</v>
      </c>
      <c r="IF11" s="9">
        <v>706082118</v>
      </c>
      <c r="IG11" s="9">
        <v>649851987</v>
      </c>
      <c r="IH11" s="15">
        <v>1223993171</v>
      </c>
      <c r="II11" s="15">
        <v>879634211</v>
      </c>
      <c r="IJ11" s="15">
        <v>909840463</v>
      </c>
      <c r="IK11" s="9">
        <v>831110319</v>
      </c>
      <c r="IL11" s="9">
        <v>1357363792</v>
      </c>
      <c r="IM11" s="9">
        <v>877173699</v>
      </c>
      <c r="IN11" s="9">
        <v>495376948</v>
      </c>
      <c r="IO11" s="9">
        <v>694316160</v>
      </c>
      <c r="IP11" s="9">
        <v>616739158</v>
      </c>
      <c r="IQ11" s="9">
        <v>839264374</v>
      </c>
      <c r="IR11" s="9">
        <v>601279461</v>
      </c>
      <c r="IS11" s="9">
        <v>641320703</v>
      </c>
      <c r="IT11" s="9">
        <v>1113157908</v>
      </c>
      <c r="IU11" s="9">
        <v>1052978490</v>
      </c>
      <c r="IV11" s="9">
        <v>594101663</v>
      </c>
      <c r="IW11" s="9">
        <v>1105648471</v>
      </c>
      <c r="IX11" s="9">
        <v>1240333379</v>
      </c>
      <c r="IY11" s="9">
        <v>926388568</v>
      </c>
      <c r="IZ11" s="9">
        <v>1559841481</v>
      </c>
      <c r="JA11" s="14">
        <v>1930234920</v>
      </c>
      <c r="JB11" s="9">
        <v>2197570762</v>
      </c>
      <c r="JC11" s="9">
        <v>1952262324</v>
      </c>
      <c r="JD11" s="9">
        <v>2147786256</v>
      </c>
      <c r="JE11" s="9">
        <v>1105552303</v>
      </c>
      <c r="JF11" s="9">
        <v>1380702756</v>
      </c>
      <c r="JG11" s="9">
        <v>1420126633</v>
      </c>
      <c r="JH11" s="9">
        <v>822459638</v>
      </c>
      <c r="JI11" s="9">
        <v>701106058</v>
      </c>
      <c r="JJ11" s="9">
        <v>1438158959</v>
      </c>
      <c r="JK11" s="9">
        <v>765344723</v>
      </c>
      <c r="JL11" s="9">
        <v>1215220008</v>
      </c>
      <c r="JM11" s="9">
        <v>1628818484</v>
      </c>
      <c r="JN11" s="9">
        <v>754326714</v>
      </c>
      <c r="JO11" s="9">
        <v>986660447</v>
      </c>
      <c r="JP11" s="9">
        <v>709973200</v>
      </c>
      <c r="JQ11" s="9">
        <v>975773882</v>
      </c>
      <c r="JR11" s="9">
        <v>748229653</v>
      </c>
      <c r="JS11" s="9">
        <v>669979773</v>
      </c>
      <c r="JT11" s="9">
        <v>895467192</v>
      </c>
      <c r="JU11" s="9">
        <v>792048404</v>
      </c>
      <c r="JV11" s="9">
        <v>860219264</v>
      </c>
      <c r="JW11" s="52">
        <v>502783475</v>
      </c>
      <c r="JX11" s="59">
        <v>631234332</v>
      </c>
      <c r="JY11" s="59">
        <v>942346231</v>
      </c>
      <c r="JZ11" s="59">
        <v>764087677</v>
      </c>
      <c r="KA11" s="59">
        <v>469122283</v>
      </c>
      <c r="KB11" s="59">
        <v>393783684</v>
      </c>
      <c r="KC11" s="59">
        <v>1233146503</v>
      </c>
      <c r="KD11" s="59">
        <v>648025320</v>
      </c>
      <c r="KE11" s="59">
        <v>697453086</v>
      </c>
      <c r="KF11" s="59">
        <v>843400582</v>
      </c>
      <c r="KG11" s="59">
        <v>1538914116</v>
      </c>
      <c r="KH11" s="59">
        <v>874834068</v>
      </c>
      <c r="KI11" s="59">
        <v>1065605467</v>
      </c>
      <c r="KJ11" s="59">
        <v>691938908</v>
      </c>
      <c r="KK11" s="59">
        <v>633580382</v>
      </c>
      <c r="KL11" s="87">
        <v>1398581219</v>
      </c>
      <c r="KM11" s="96">
        <v>1191445060</v>
      </c>
      <c r="KN11" s="96">
        <v>964088254</v>
      </c>
      <c r="KO11" s="96">
        <v>575932783</v>
      </c>
      <c r="KP11" s="96">
        <v>872905387</v>
      </c>
      <c r="KQ11" s="96">
        <v>1084067310</v>
      </c>
      <c r="KR11" s="96">
        <v>1671675056</v>
      </c>
      <c r="KS11" s="96">
        <v>613751042</v>
      </c>
      <c r="KT11" s="96">
        <v>749613061</v>
      </c>
      <c r="KU11" s="96">
        <v>609825334</v>
      </c>
      <c r="KV11" s="96">
        <v>411873694</v>
      </c>
      <c r="KW11" s="96">
        <v>546683879</v>
      </c>
      <c r="KX11" s="96">
        <v>574537934</v>
      </c>
      <c r="KY11" s="96">
        <v>800379806</v>
      </c>
      <c r="KZ11" s="96">
        <v>1304636992</v>
      </c>
      <c r="LA11" s="105">
        <v>834256017</v>
      </c>
      <c r="LB11" s="96">
        <v>578910649</v>
      </c>
      <c r="LC11" s="96">
        <v>788568707</v>
      </c>
      <c r="LD11" s="96">
        <v>600222361</v>
      </c>
      <c r="LE11" s="96">
        <v>411769137</v>
      </c>
      <c r="LF11" s="96">
        <v>398852060</v>
      </c>
      <c r="LG11" s="96">
        <v>517588123</v>
      </c>
      <c r="LH11" s="96">
        <v>1137548394</v>
      </c>
      <c r="LI11" s="96">
        <v>734030457</v>
      </c>
      <c r="LJ11" s="96">
        <v>740754929</v>
      </c>
      <c r="LK11" s="96">
        <v>719468257</v>
      </c>
      <c r="LL11" s="96">
        <v>1335535071</v>
      </c>
      <c r="LM11" s="96">
        <v>558699147</v>
      </c>
      <c r="LN11" s="96">
        <v>1890135179</v>
      </c>
      <c r="LO11" s="96">
        <v>466486132</v>
      </c>
      <c r="LP11" s="96">
        <v>632462881</v>
      </c>
      <c r="LQ11" s="218"/>
      <c r="LR11" s="96">
        <v>1629235213</v>
      </c>
      <c r="LS11" s="96">
        <v>1384377464</v>
      </c>
      <c r="LT11" s="111">
        <v>1155620911</v>
      </c>
      <c r="LU11" s="118" t="s">
        <v>29</v>
      </c>
      <c r="LV11" s="121" t="s">
        <v>30</v>
      </c>
      <c r="LW11" s="96">
        <v>2908547753</v>
      </c>
      <c r="LX11" s="96">
        <v>2540484744</v>
      </c>
      <c r="LY11" s="96">
        <v>3217169822</v>
      </c>
      <c r="LZ11" s="131">
        <v>10320538024</v>
      </c>
      <c r="MA11" s="131">
        <v>5429985316</v>
      </c>
      <c r="MB11" s="131">
        <v>1861129861</v>
      </c>
      <c r="MC11" s="96">
        <v>2944244202</v>
      </c>
      <c r="MD11" s="96">
        <v>2056878057</v>
      </c>
      <c r="ME11" s="96">
        <v>2212982325</v>
      </c>
      <c r="MF11" s="96">
        <v>2690666030</v>
      </c>
      <c r="MG11" s="96">
        <v>6523193137</v>
      </c>
      <c r="MH11" s="96">
        <v>6415563117</v>
      </c>
      <c r="MI11" s="96">
        <v>4088271535</v>
      </c>
      <c r="MJ11" s="96">
        <v>7669532391</v>
      </c>
      <c r="MK11" s="96">
        <v>6482252647</v>
      </c>
      <c r="ML11" s="2">
        <v>8642252515</v>
      </c>
      <c r="MM11" s="96">
        <v>4810116783</v>
      </c>
      <c r="MN11" s="140">
        <v>2482904131</v>
      </c>
      <c r="MO11" s="96">
        <v>1612764010</v>
      </c>
      <c r="MP11" s="96">
        <v>1762143524</v>
      </c>
      <c r="MQ11" s="96">
        <v>1092579927</v>
      </c>
      <c r="MR11" s="151">
        <v>1029716226</v>
      </c>
      <c r="MS11" s="152">
        <v>3507305630</v>
      </c>
      <c r="MT11" s="152">
        <v>4352712705</v>
      </c>
      <c r="MU11" s="152">
        <v>2089417428</v>
      </c>
      <c r="MV11" s="152">
        <v>1527508659</v>
      </c>
      <c r="MW11" s="153">
        <v>2387191351</v>
      </c>
      <c r="MX11" s="96">
        <v>1856920603</v>
      </c>
      <c r="MY11" s="96">
        <v>1941796911</v>
      </c>
      <c r="MZ11" s="96">
        <v>1869179149</v>
      </c>
      <c r="NA11" s="96">
        <v>964140782</v>
      </c>
      <c r="NB11" s="96">
        <v>666469014</v>
      </c>
      <c r="NC11" s="105">
        <v>1463693215</v>
      </c>
      <c r="ND11" s="96">
        <v>3654936704</v>
      </c>
      <c r="NE11" s="96">
        <v>3279602368</v>
      </c>
      <c r="NF11" s="96">
        <v>1409423794</v>
      </c>
      <c r="NG11" s="2">
        <v>890504908</v>
      </c>
      <c r="NH11" s="178">
        <v>1078695508</v>
      </c>
      <c r="NI11" s="2">
        <v>1190526833</v>
      </c>
      <c r="NJ11" s="96">
        <v>715113257</v>
      </c>
      <c r="NK11" s="96">
        <v>1727993060</v>
      </c>
      <c r="NL11" s="96">
        <v>1867493780</v>
      </c>
      <c r="NM11" s="151">
        <v>2722457302</v>
      </c>
      <c r="NN11" s="152">
        <v>1853541685</v>
      </c>
      <c r="NO11" s="186">
        <v>1827717087</v>
      </c>
      <c r="NP11" s="152">
        <v>1009142965</v>
      </c>
      <c r="NQ11" s="152">
        <v>703632598</v>
      </c>
      <c r="NR11" s="186">
        <v>1653495090</v>
      </c>
      <c r="NS11" s="152">
        <v>2756918548</v>
      </c>
      <c r="NT11" s="152">
        <v>3650247126</v>
      </c>
      <c r="NU11" s="153">
        <v>6334248304</v>
      </c>
      <c r="NV11" s="2">
        <v>7021602955</v>
      </c>
      <c r="NW11" s="2">
        <v>3436258481</v>
      </c>
      <c r="NX11" s="2">
        <v>2123848181</v>
      </c>
      <c r="NY11" s="2">
        <v>2540411601</v>
      </c>
      <c r="NZ11" s="2">
        <v>4210396682</v>
      </c>
      <c r="OA11" s="2">
        <v>4913838819</v>
      </c>
      <c r="OB11" s="2">
        <v>7158455264</v>
      </c>
      <c r="OC11" s="2">
        <v>6595046811</v>
      </c>
      <c r="OD11" s="2">
        <v>7083662314</v>
      </c>
      <c r="OE11" s="2">
        <v>7486663722</v>
      </c>
      <c r="OF11" s="2">
        <v>4983487225</v>
      </c>
      <c r="OG11" s="140">
        <v>3659770675</v>
      </c>
    </row>
    <row r="12" spans="1:397" s="2" customFormat="1" ht="15" customHeight="1" x14ac:dyDescent="0.25">
      <c r="A12" s="26" t="s">
        <v>6</v>
      </c>
      <c r="B12" s="9">
        <v>6003</v>
      </c>
      <c r="C12" s="9">
        <v>6626</v>
      </c>
      <c r="D12" s="9">
        <v>10224</v>
      </c>
      <c r="E12" s="9">
        <v>9382</v>
      </c>
      <c r="F12" s="9">
        <v>9960</v>
      </c>
      <c r="G12" s="9">
        <v>17985</v>
      </c>
      <c r="H12" s="9">
        <v>30214</v>
      </c>
      <c r="I12" s="9">
        <v>25069</v>
      </c>
      <c r="J12" s="9">
        <v>18327</v>
      </c>
      <c r="K12" s="9">
        <v>20025</v>
      </c>
      <c r="L12" s="9">
        <v>42899</v>
      </c>
      <c r="M12" s="9">
        <v>34978</v>
      </c>
      <c r="N12" s="9">
        <v>43481</v>
      </c>
      <c r="O12" s="9">
        <v>52397</v>
      </c>
      <c r="P12" s="9">
        <v>46558</v>
      </c>
      <c r="Q12" s="9">
        <v>20146</v>
      </c>
      <c r="R12" s="9">
        <v>23328</v>
      </c>
      <c r="S12" s="9">
        <v>28156</v>
      </c>
      <c r="T12" s="9">
        <v>28114</v>
      </c>
      <c r="U12" s="9">
        <v>3103</v>
      </c>
      <c r="V12" s="9">
        <v>52440</v>
      </c>
      <c r="W12" s="9">
        <v>28026</v>
      </c>
      <c r="X12" s="9">
        <v>28566</v>
      </c>
      <c r="Y12" s="9">
        <v>22201</v>
      </c>
      <c r="Z12" s="9">
        <v>21120</v>
      </c>
      <c r="AA12" s="9">
        <v>18792</v>
      </c>
      <c r="AB12" s="9">
        <v>24432</v>
      </c>
      <c r="AC12" s="9">
        <v>12112</v>
      </c>
      <c r="AD12" s="9">
        <v>19735</v>
      </c>
      <c r="AE12" s="9">
        <v>18590</v>
      </c>
      <c r="AF12" s="9">
        <v>14060</v>
      </c>
      <c r="AG12" s="9">
        <v>16348</v>
      </c>
      <c r="AH12" s="9">
        <v>11644</v>
      </c>
      <c r="AI12" s="9">
        <v>9607</v>
      </c>
      <c r="AJ12" s="9">
        <v>12498</v>
      </c>
      <c r="AK12" s="9">
        <v>7342</v>
      </c>
      <c r="AL12" s="9">
        <v>7553</v>
      </c>
      <c r="AM12" s="9">
        <v>7716</v>
      </c>
      <c r="AN12" s="9">
        <v>10977</v>
      </c>
      <c r="AO12" s="9">
        <v>5710</v>
      </c>
      <c r="AP12" s="9">
        <v>6168</v>
      </c>
      <c r="AQ12" s="9">
        <v>6609</v>
      </c>
      <c r="AR12" s="9">
        <v>6242</v>
      </c>
      <c r="AS12" s="9">
        <v>7087</v>
      </c>
      <c r="AT12" s="9">
        <v>7254</v>
      </c>
      <c r="AU12" s="9">
        <v>13404</v>
      </c>
      <c r="AV12" s="9">
        <v>12432</v>
      </c>
      <c r="AW12" s="9">
        <v>7041</v>
      </c>
      <c r="AX12" s="9">
        <v>13676</v>
      </c>
      <c r="AY12" s="9">
        <v>8077</v>
      </c>
      <c r="AZ12" s="9">
        <v>9951</v>
      </c>
      <c r="BA12" s="9">
        <v>20487</v>
      </c>
      <c r="BB12" s="9">
        <v>15493</v>
      </c>
      <c r="BC12" s="9">
        <v>17227</v>
      </c>
      <c r="BD12" s="9">
        <v>24603</v>
      </c>
      <c r="BE12" s="9">
        <v>22908</v>
      </c>
      <c r="BF12" s="9">
        <v>33908</v>
      </c>
      <c r="BG12" s="9">
        <v>14836</v>
      </c>
      <c r="BH12" s="9">
        <v>22268</v>
      </c>
      <c r="BI12" s="9">
        <v>21852</v>
      </c>
      <c r="BJ12" s="9">
        <v>13395</v>
      </c>
      <c r="BK12" s="9">
        <v>13338</v>
      </c>
      <c r="BL12" s="9">
        <v>28739</v>
      </c>
      <c r="BM12" s="9">
        <v>29832</v>
      </c>
      <c r="BN12" s="9">
        <v>39304</v>
      </c>
      <c r="BO12" s="9">
        <v>37230</v>
      </c>
      <c r="BP12" s="9">
        <v>44190</v>
      </c>
      <c r="BQ12" s="9">
        <v>33908</v>
      </c>
      <c r="BR12" s="9">
        <v>24526</v>
      </c>
      <c r="BS12" s="9">
        <v>15451</v>
      </c>
      <c r="BT12" s="9">
        <v>25507</v>
      </c>
      <c r="BU12" s="9">
        <v>23656</v>
      </c>
      <c r="BV12" s="9">
        <v>20767</v>
      </c>
      <c r="BW12" s="9">
        <v>17041</v>
      </c>
      <c r="BX12" s="9">
        <v>12919</v>
      </c>
      <c r="BY12" s="9">
        <v>7792</v>
      </c>
      <c r="BZ12" s="9">
        <v>15179</v>
      </c>
      <c r="CA12" s="9">
        <v>11941</v>
      </c>
      <c r="CB12" s="9">
        <v>18749</v>
      </c>
      <c r="CC12" s="9">
        <v>26688</v>
      </c>
      <c r="CD12" s="9">
        <v>26538</v>
      </c>
      <c r="CE12" s="9">
        <v>17907</v>
      </c>
      <c r="CF12" s="9">
        <v>10510</v>
      </c>
      <c r="CG12" s="9">
        <v>19729</v>
      </c>
      <c r="CH12" s="9">
        <v>19156</v>
      </c>
      <c r="CI12" s="9">
        <v>17326</v>
      </c>
      <c r="CJ12" s="9">
        <v>15158</v>
      </c>
      <c r="CK12" s="9">
        <v>7575</v>
      </c>
      <c r="CL12" s="9">
        <v>14543</v>
      </c>
      <c r="CM12" s="9">
        <v>15030</v>
      </c>
      <c r="CN12" s="9">
        <v>17396</v>
      </c>
      <c r="CO12" s="9">
        <v>11863</v>
      </c>
      <c r="CP12" s="9">
        <v>10598</v>
      </c>
      <c r="CQ12" s="9">
        <v>11613</v>
      </c>
      <c r="CR12" s="9">
        <v>12103</v>
      </c>
      <c r="CS12" s="9">
        <v>7948</v>
      </c>
      <c r="CT12" s="9">
        <v>7659</v>
      </c>
      <c r="CU12" s="9">
        <v>5624</v>
      </c>
      <c r="CV12" s="9">
        <v>7353</v>
      </c>
      <c r="CW12" s="9">
        <f>SUM(CW13:CW14)</f>
        <v>4869</v>
      </c>
      <c r="CX12" s="9">
        <f>SUM(CX13:CX14)</f>
        <v>5707</v>
      </c>
      <c r="CY12" s="9">
        <f>SUM(CY13:CY14)</f>
        <v>8266</v>
      </c>
      <c r="CZ12" s="9">
        <v>6188</v>
      </c>
      <c r="DA12" s="9">
        <v>8929</v>
      </c>
      <c r="DB12" s="9">
        <v>6582</v>
      </c>
      <c r="DC12" s="9">
        <v>25938</v>
      </c>
      <c r="DD12" s="9">
        <v>30454</v>
      </c>
      <c r="DE12" s="9">
        <v>42154</v>
      </c>
      <c r="DF12" s="9">
        <v>18587</v>
      </c>
      <c r="DG12" s="9">
        <v>17283</v>
      </c>
      <c r="DH12" s="9">
        <v>16761</v>
      </c>
      <c r="DI12" s="9">
        <v>10196</v>
      </c>
      <c r="DJ12" s="9">
        <v>22280</v>
      </c>
      <c r="DK12" s="9">
        <v>30864</v>
      </c>
      <c r="DL12" s="9">
        <v>21288</v>
      </c>
      <c r="DM12" s="9">
        <v>23936</v>
      </c>
      <c r="DN12" s="9">
        <v>54807</v>
      </c>
      <c r="DO12" s="9">
        <v>39410</v>
      </c>
      <c r="DP12" s="9">
        <v>16788</v>
      </c>
      <c r="DQ12" s="9">
        <v>10926</v>
      </c>
      <c r="DR12" s="9">
        <v>24408</v>
      </c>
      <c r="DS12" s="9">
        <v>12121</v>
      </c>
      <c r="DT12" s="9">
        <v>11567</v>
      </c>
      <c r="DU12" s="9">
        <v>19566</v>
      </c>
      <c r="DV12" s="9">
        <v>20482</v>
      </c>
      <c r="DW12" s="9">
        <v>62970</v>
      </c>
      <c r="DX12" s="9">
        <v>38138</v>
      </c>
      <c r="DY12" s="9">
        <v>36737</v>
      </c>
      <c r="DZ12" s="9">
        <v>67382</v>
      </c>
      <c r="EA12" s="9">
        <v>93865</v>
      </c>
      <c r="EB12" s="9">
        <v>65846</v>
      </c>
      <c r="EC12" s="9">
        <v>29872</v>
      </c>
      <c r="ED12" s="9">
        <v>39056</v>
      </c>
      <c r="EE12" s="9">
        <v>33230</v>
      </c>
      <c r="EF12" s="9">
        <v>36576</v>
      </c>
      <c r="EG12" s="9">
        <v>31545</v>
      </c>
      <c r="EH12" s="9">
        <v>46957</v>
      </c>
      <c r="EI12" s="9">
        <v>54654</v>
      </c>
      <c r="EJ12" s="9">
        <v>96118</v>
      </c>
      <c r="EK12" s="9">
        <v>77697</v>
      </c>
      <c r="EL12" s="9">
        <v>73521</v>
      </c>
      <c r="EM12" s="9">
        <v>77022</v>
      </c>
      <c r="EN12" s="9">
        <v>39790</v>
      </c>
      <c r="EO12" s="9">
        <v>39937</v>
      </c>
      <c r="EP12" s="9">
        <v>58945</v>
      </c>
      <c r="EQ12" s="9">
        <v>84821</v>
      </c>
      <c r="ER12" s="9">
        <v>143284</v>
      </c>
      <c r="ES12" s="9">
        <v>85919</v>
      </c>
      <c r="ET12" s="9">
        <v>122357</v>
      </c>
      <c r="EU12" s="9">
        <v>54699</v>
      </c>
      <c r="EV12" s="9">
        <v>64712</v>
      </c>
      <c r="EW12" s="9">
        <v>99252</v>
      </c>
      <c r="EX12" s="9">
        <v>111205</v>
      </c>
      <c r="EY12" s="9">
        <v>106868</v>
      </c>
      <c r="EZ12" s="9">
        <v>100209</v>
      </c>
      <c r="FA12" s="9">
        <v>68180</v>
      </c>
      <c r="FB12" s="9">
        <v>65784</v>
      </c>
      <c r="FC12" s="9">
        <v>87096</v>
      </c>
      <c r="FD12" s="9">
        <v>102773</v>
      </c>
      <c r="FE12" s="9">
        <v>76185</v>
      </c>
      <c r="FF12" s="9">
        <v>54845</v>
      </c>
      <c r="FG12" s="9">
        <v>82978</v>
      </c>
      <c r="FH12" s="14">
        <v>81685</v>
      </c>
      <c r="FI12" s="14">
        <f>(FI13+FI14)</f>
        <v>57707</v>
      </c>
      <c r="FJ12" s="14">
        <f>(FJ13+FJ14)</f>
        <v>91406</v>
      </c>
      <c r="FK12" s="9">
        <v>88353</v>
      </c>
      <c r="FL12" s="9">
        <v>113115</v>
      </c>
      <c r="FM12" s="14">
        <v>50460</v>
      </c>
      <c r="FN12" s="9">
        <v>95083</v>
      </c>
      <c r="FO12" s="9">
        <v>94062</v>
      </c>
      <c r="FP12" s="9">
        <v>73370</v>
      </c>
      <c r="FQ12" s="9">
        <v>33623</v>
      </c>
      <c r="FR12" s="9">
        <v>46158</v>
      </c>
      <c r="FS12" s="9">
        <v>38697</v>
      </c>
      <c r="FT12" s="9">
        <v>37061</v>
      </c>
      <c r="FU12" s="9">
        <v>69804</v>
      </c>
      <c r="FV12" s="9">
        <v>86423</v>
      </c>
      <c r="FW12" s="9">
        <v>116134</v>
      </c>
      <c r="FX12" s="9">
        <v>112901</v>
      </c>
      <c r="FY12" s="9">
        <v>73612</v>
      </c>
      <c r="FZ12" s="9">
        <v>60121</v>
      </c>
      <c r="GA12" s="9">
        <v>100678</v>
      </c>
      <c r="GB12" s="9">
        <v>87041</v>
      </c>
      <c r="GC12" s="9">
        <v>70924</v>
      </c>
      <c r="GD12" s="9">
        <v>68345</v>
      </c>
      <c r="GE12" s="9">
        <v>63906</v>
      </c>
      <c r="GF12" s="9">
        <v>55558</v>
      </c>
      <c r="GG12" s="9">
        <v>83870</v>
      </c>
      <c r="GH12" s="9">
        <v>57114</v>
      </c>
      <c r="GI12" s="9">
        <v>59376</v>
      </c>
      <c r="GJ12" s="9">
        <v>46610</v>
      </c>
      <c r="GK12" s="9">
        <v>22701</v>
      </c>
      <c r="GL12" s="9">
        <v>79869</v>
      </c>
      <c r="GM12" s="9">
        <v>35651</v>
      </c>
      <c r="GN12" s="9">
        <v>37394</v>
      </c>
      <c r="GO12" s="9">
        <v>53868</v>
      </c>
      <c r="GP12" s="9">
        <v>113911</v>
      </c>
      <c r="GQ12" s="9">
        <v>170154</v>
      </c>
      <c r="GR12" s="9">
        <v>107885</v>
      </c>
      <c r="GS12" s="9">
        <v>105990</v>
      </c>
      <c r="GT12" s="9">
        <v>189762</v>
      </c>
      <c r="GU12" s="9">
        <v>191809</v>
      </c>
      <c r="GV12" s="9">
        <v>72185</v>
      </c>
      <c r="GW12" s="9">
        <v>107821</v>
      </c>
      <c r="GX12" s="9">
        <v>183566</v>
      </c>
      <c r="GY12" s="9">
        <v>236947</v>
      </c>
      <c r="GZ12" s="9">
        <v>174924</v>
      </c>
      <c r="HA12" s="9">
        <v>210289</v>
      </c>
      <c r="HB12" s="9">
        <v>210697</v>
      </c>
      <c r="HC12" s="9">
        <v>308817</v>
      </c>
      <c r="HD12" s="9">
        <v>381291</v>
      </c>
      <c r="HE12" s="9">
        <v>361401</v>
      </c>
      <c r="HF12" s="9">
        <v>529329</v>
      </c>
      <c r="HG12" s="9">
        <v>305140</v>
      </c>
      <c r="HH12" s="9">
        <v>179330</v>
      </c>
      <c r="HI12" s="9">
        <v>273394</v>
      </c>
      <c r="HJ12" s="9">
        <v>624682</v>
      </c>
      <c r="HK12" s="9">
        <v>418449</v>
      </c>
      <c r="HL12" s="9">
        <v>335730</v>
      </c>
      <c r="HM12" s="9">
        <v>254386</v>
      </c>
      <c r="HN12" s="9">
        <v>412175</v>
      </c>
      <c r="HO12" s="9">
        <v>485625</v>
      </c>
      <c r="HP12" s="9">
        <v>348878</v>
      </c>
      <c r="HQ12" s="9">
        <v>555141</v>
      </c>
      <c r="HR12" s="9">
        <v>486586</v>
      </c>
      <c r="HS12" s="9">
        <v>252046</v>
      </c>
      <c r="HT12" s="9">
        <v>220425</v>
      </c>
      <c r="HU12" s="9">
        <v>185229</v>
      </c>
      <c r="HV12" s="9">
        <v>218569</v>
      </c>
      <c r="HW12" s="9">
        <v>218342</v>
      </c>
      <c r="HX12" s="9">
        <v>113799</v>
      </c>
      <c r="HY12" s="9">
        <v>86128</v>
      </c>
      <c r="HZ12" s="9">
        <v>112004</v>
      </c>
      <c r="IA12" s="9">
        <v>149449</v>
      </c>
      <c r="IB12" s="9">
        <v>101993</v>
      </c>
      <c r="IC12" s="9">
        <v>139406</v>
      </c>
      <c r="ID12" s="9">
        <v>407993</v>
      </c>
      <c r="IE12" s="9">
        <v>141396</v>
      </c>
      <c r="IF12" s="9">
        <v>91771</v>
      </c>
      <c r="IG12" s="9">
        <v>76534</v>
      </c>
      <c r="IH12" s="15">
        <v>122645</v>
      </c>
      <c r="II12" s="15">
        <v>86337</v>
      </c>
      <c r="IJ12" s="15">
        <v>85807</v>
      </c>
      <c r="IK12" s="9">
        <v>154025</v>
      </c>
      <c r="IL12" s="9">
        <v>224538</v>
      </c>
      <c r="IM12" s="9">
        <v>114751</v>
      </c>
      <c r="IN12" s="9">
        <v>93908</v>
      </c>
      <c r="IO12" s="9">
        <v>91461</v>
      </c>
      <c r="IP12" s="9">
        <v>118529</v>
      </c>
      <c r="IQ12" s="9">
        <v>152472</v>
      </c>
      <c r="IR12" s="9">
        <v>101443</v>
      </c>
      <c r="IS12" s="9">
        <v>75387</v>
      </c>
      <c r="IT12" s="9">
        <v>177056</v>
      </c>
      <c r="IU12" s="9">
        <v>91147</v>
      </c>
      <c r="IV12" s="9">
        <v>79012</v>
      </c>
      <c r="IW12" s="9">
        <v>102601</v>
      </c>
      <c r="IX12" s="9">
        <v>116771</v>
      </c>
      <c r="IY12" s="9">
        <v>127421</v>
      </c>
      <c r="IZ12" s="9">
        <v>223593</v>
      </c>
      <c r="JA12" s="14">
        <v>255768</v>
      </c>
      <c r="JB12" s="9">
        <v>264350</v>
      </c>
      <c r="JC12" s="9">
        <v>207630</v>
      </c>
      <c r="JD12" s="9">
        <v>233968</v>
      </c>
      <c r="JE12" s="9">
        <v>103392</v>
      </c>
      <c r="JF12" s="9">
        <v>147116</v>
      </c>
      <c r="JG12" s="9">
        <v>132291</v>
      </c>
      <c r="JH12" s="9">
        <v>100581</v>
      </c>
      <c r="JI12" s="9">
        <v>108322</v>
      </c>
      <c r="JJ12" s="9">
        <v>158055</v>
      </c>
      <c r="JK12" s="9">
        <v>124085</v>
      </c>
      <c r="JL12" s="9">
        <v>136032</v>
      </c>
      <c r="JM12" s="9">
        <v>188097</v>
      </c>
      <c r="JN12" s="9">
        <v>120118</v>
      </c>
      <c r="JO12" s="9">
        <v>142128</v>
      </c>
      <c r="JP12" s="9">
        <v>87992</v>
      </c>
      <c r="JQ12" s="9">
        <v>61973</v>
      </c>
      <c r="JR12" s="9">
        <v>88074</v>
      </c>
      <c r="JS12" s="9">
        <v>64658</v>
      </c>
      <c r="JT12" s="9">
        <v>83010</v>
      </c>
      <c r="JU12" s="9">
        <v>106605</v>
      </c>
      <c r="JV12" s="9">
        <v>109940</v>
      </c>
      <c r="JW12" s="52">
        <v>81370</v>
      </c>
      <c r="JX12" s="59">
        <v>103124</v>
      </c>
      <c r="JY12" s="59">
        <v>133176</v>
      </c>
      <c r="JZ12" s="59">
        <v>112244</v>
      </c>
      <c r="KA12" s="59">
        <v>76149</v>
      </c>
      <c r="KB12" s="59">
        <v>54791</v>
      </c>
      <c r="KC12" s="59">
        <v>43708</v>
      </c>
      <c r="KD12" s="59">
        <v>50722</v>
      </c>
      <c r="KE12" s="59">
        <v>47075</v>
      </c>
      <c r="KF12" s="59">
        <v>65508</v>
      </c>
      <c r="KG12" s="59">
        <v>89494</v>
      </c>
      <c r="KH12" s="59">
        <v>104904</v>
      </c>
      <c r="KI12" s="59">
        <v>100413</v>
      </c>
      <c r="KJ12" s="59">
        <v>101594</v>
      </c>
      <c r="KK12" s="59">
        <v>71791</v>
      </c>
      <c r="KL12" s="87">
        <v>95563</v>
      </c>
      <c r="KM12" s="96">
        <v>129101</v>
      </c>
      <c r="KN12" s="96">
        <v>74562</v>
      </c>
      <c r="KO12" s="96">
        <v>51250</v>
      </c>
      <c r="KP12" s="96">
        <v>60946</v>
      </c>
      <c r="KQ12" s="96">
        <v>108986</v>
      </c>
      <c r="KR12" s="96">
        <v>100869</v>
      </c>
      <c r="KS12" s="96">
        <v>66048</v>
      </c>
      <c r="KT12" s="96">
        <v>80737</v>
      </c>
      <c r="KU12" s="96">
        <v>61406</v>
      </c>
      <c r="KV12" s="96">
        <v>66773</v>
      </c>
      <c r="KW12" s="96">
        <v>64747</v>
      </c>
      <c r="KX12" s="96">
        <v>65284</v>
      </c>
      <c r="KY12" s="96">
        <v>70099</v>
      </c>
      <c r="KZ12" s="96">
        <v>81202</v>
      </c>
      <c r="LA12" s="105">
        <v>58560</v>
      </c>
      <c r="LB12" s="96">
        <v>82896</v>
      </c>
      <c r="LC12" s="96">
        <v>55363</v>
      </c>
      <c r="LD12" s="96">
        <v>57216</v>
      </c>
      <c r="LE12" s="96">
        <v>52715</v>
      </c>
      <c r="LF12" s="96">
        <v>66238</v>
      </c>
      <c r="LG12" s="96">
        <v>54926</v>
      </c>
      <c r="LH12" s="96">
        <v>158594</v>
      </c>
      <c r="LI12" s="96">
        <v>122378</v>
      </c>
      <c r="LJ12" s="96">
        <v>95928</v>
      </c>
      <c r="LK12" s="96">
        <v>155223</v>
      </c>
      <c r="LL12" s="96">
        <v>183313</v>
      </c>
      <c r="LM12" s="96">
        <v>112415</v>
      </c>
      <c r="LN12" s="96">
        <v>97094</v>
      </c>
      <c r="LO12" s="96">
        <v>79992</v>
      </c>
      <c r="LP12" s="96">
        <v>76943</v>
      </c>
      <c r="LQ12" s="218"/>
      <c r="LR12" s="96">
        <v>138473</v>
      </c>
      <c r="LS12" s="96">
        <v>201301</v>
      </c>
      <c r="LT12" s="111">
        <v>244701</v>
      </c>
      <c r="LU12" s="2">
        <v>257526</v>
      </c>
      <c r="LV12" s="120">
        <v>432743</v>
      </c>
      <c r="LW12" s="96">
        <v>549189</v>
      </c>
      <c r="LX12" s="96">
        <v>484627</v>
      </c>
      <c r="LY12" s="96">
        <v>507432</v>
      </c>
      <c r="LZ12" s="131">
        <v>962957</v>
      </c>
      <c r="MA12" s="131">
        <v>575089</v>
      </c>
      <c r="MB12" s="131">
        <v>331453</v>
      </c>
      <c r="MC12" s="96">
        <v>396672</v>
      </c>
      <c r="MD12" s="96">
        <v>333058</v>
      </c>
      <c r="ME12" s="96">
        <v>484399</v>
      </c>
      <c r="MF12" s="96">
        <v>451149</v>
      </c>
      <c r="MG12" s="96">
        <v>951075</v>
      </c>
      <c r="MH12" s="96">
        <v>804206</v>
      </c>
      <c r="MI12" s="96">
        <v>646015</v>
      </c>
      <c r="MJ12" s="96">
        <v>1091782</v>
      </c>
      <c r="MK12" s="96">
        <v>1103653</v>
      </c>
      <c r="ML12" s="2">
        <v>1120079</v>
      </c>
      <c r="MM12" s="96">
        <v>819556</v>
      </c>
      <c r="MN12" s="140">
        <v>497155</v>
      </c>
      <c r="MO12" s="96">
        <v>173440</v>
      </c>
      <c r="MP12" s="96">
        <v>311049</v>
      </c>
      <c r="MQ12" s="96">
        <v>266294</v>
      </c>
      <c r="MR12" s="151">
        <v>276457</v>
      </c>
      <c r="MS12" s="152">
        <v>717297</v>
      </c>
      <c r="MT12" s="152">
        <v>763750</v>
      </c>
      <c r="MU12" s="152">
        <v>426457</v>
      </c>
      <c r="MV12" s="152">
        <v>338209</v>
      </c>
      <c r="MW12" s="153">
        <v>347490</v>
      </c>
      <c r="MX12" s="96">
        <v>381483</v>
      </c>
      <c r="MY12" s="96">
        <v>404090</v>
      </c>
      <c r="MZ12" s="96">
        <v>314245</v>
      </c>
      <c r="NA12" s="96">
        <v>198068</v>
      </c>
      <c r="NB12" s="96">
        <v>205899</v>
      </c>
      <c r="NC12" s="105">
        <v>250576</v>
      </c>
      <c r="ND12" s="96">
        <v>538908</v>
      </c>
      <c r="NE12" s="96">
        <v>515259</v>
      </c>
      <c r="NF12" s="96">
        <v>251092</v>
      </c>
      <c r="NG12" s="2">
        <v>235648</v>
      </c>
      <c r="NH12" s="178">
        <v>181790</v>
      </c>
      <c r="NI12" s="2">
        <v>141902</v>
      </c>
      <c r="NJ12" s="96">
        <v>154754</v>
      </c>
      <c r="NK12" s="96">
        <v>167432</v>
      </c>
      <c r="NL12" s="96">
        <v>293409</v>
      </c>
      <c r="NM12" s="151">
        <v>366816</v>
      </c>
      <c r="NN12" s="152">
        <v>292835</v>
      </c>
      <c r="NO12" s="186">
        <v>193500</v>
      </c>
      <c r="NP12" s="152">
        <v>173656</v>
      </c>
      <c r="NQ12" s="152">
        <v>157203</v>
      </c>
      <c r="NR12" s="186">
        <v>241872</v>
      </c>
      <c r="NS12" s="152">
        <v>347741</v>
      </c>
      <c r="NT12" s="152">
        <v>376399</v>
      </c>
      <c r="NU12" s="153">
        <v>758450</v>
      </c>
      <c r="NV12" s="2">
        <v>772389</v>
      </c>
      <c r="NW12" s="2">
        <v>384823</v>
      </c>
      <c r="NX12" s="2">
        <v>258621</v>
      </c>
      <c r="NY12" s="2">
        <v>326872</v>
      </c>
      <c r="NZ12" s="2">
        <v>392155</v>
      </c>
      <c r="OA12" s="2">
        <v>641100</v>
      </c>
      <c r="OB12" s="2">
        <v>828098</v>
      </c>
      <c r="OC12" s="2">
        <v>808199</v>
      </c>
      <c r="OD12" s="2">
        <v>852384</v>
      </c>
      <c r="OE12" s="2">
        <v>877355</v>
      </c>
      <c r="OF12" s="2">
        <v>693454</v>
      </c>
      <c r="OG12" s="140">
        <v>657545</v>
      </c>
    </row>
    <row r="13" spans="1:397" s="2" customFormat="1" ht="15" customHeight="1" x14ac:dyDescent="0.25">
      <c r="A13" s="26" t="s">
        <v>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37436</v>
      </c>
      <c r="Q13" s="9">
        <v>16868</v>
      </c>
      <c r="R13" s="9">
        <v>17741</v>
      </c>
      <c r="S13" s="9">
        <v>22160</v>
      </c>
      <c r="T13" s="9">
        <v>22636</v>
      </c>
      <c r="U13" s="9">
        <v>24493</v>
      </c>
      <c r="V13" s="9">
        <v>43924</v>
      </c>
      <c r="W13" s="9">
        <v>23944</v>
      </c>
      <c r="X13" s="9">
        <v>23184</v>
      </c>
      <c r="Y13" s="9">
        <v>18003</v>
      </c>
      <c r="Z13" s="9">
        <v>17333</v>
      </c>
      <c r="AA13" s="9">
        <v>15329</v>
      </c>
      <c r="AB13" s="9">
        <v>19112</v>
      </c>
      <c r="AC13" s="9">
        <v>9880</v>
      </c>
      <c r="AD13" s="9">
        <v>15468</v>
      </c>
      <c r="AE13" s="9">
        <v>13905</v>
      </c>
      <c r="AF13" s="9">
        <v>12370</v>
      </c>
      <c r="AG13" s="9">
        <v>13896</v>
      </c>
      <c r="AH13" s="9">
        <v>10591</v>
      </c>
      <c r="AI13" s="9">
        <v>8585</v>
      </c>
      <c r="AJ13" s="9">
        <v>11410</v>
      </c>
      <c r="AK13" s="9">
        <v>6469</v>
      </c>
      <c r="AL13" s="9">
        <v>6736</v>
      </c>
      <c r="AM13" s="9">
        <v>6617</v>
      </c>
      <c r="AN13" s="9">
        <v>9506</v>
      </c>
      <c r="AO13" s="9">
        <v>5134</v>
      </c>
      <c r="AP13" s="9">
        <v>5538</v>
      </c>
      <c r="AQ13" s="9">
        <v>5957</v>
      </c>
      <c r="AR13" s="9">
        <v>5673</v>
      </c>
      <c r="AS13" s="9">
        <v>6488</v>
      </c>
      <c r="AT13" s="9">
        <v>6571</v>
      </c>
      <c r="AU13" s="9">
        <v>12144</v>
      </c>
      <c r="AV13" s="9">
        <v>11176</v>
      </c>
      <c r="AW13" s="9">
        <v>6239</v>
      </c>
      <c r="AX13" s="9">
        <v>12358</v>
      </c>
      <c r="AY13" s="9">
        <v>7364</v>
      </c>
      <c r="AZ13" s="9">
        <v>9142</v>
      </c>
      <c r="BA13" s="9">
        <v>18486</v>
      </c>
      <c r="BB13" s="9">
        <v>14543</v>
      </c>
      <c r="BC13" s="9">
        <v>15973</v>
      </c>
      <c r="BD13" s="9">
        <v>22924</v>
      </c>
      <c r="BE13" s="9">
        <v>22271</v>
      </c>
      <c r="BF13" s="9">
        <v>32637</v>
      </c>
      <c r="BG13" s="9">
        <v>13574</v>
      </c>
      <c r="BH13" s="9">
        <v>20764</v>
      </c>
      <c r="BI13" s="9">
        <v>19420</v>
      </c>
      <c r="BJ13" s="9">
        <v>12346</v>
      </c>
      <c r="BK13" s="9">
        <v>11953</v>
      </c>
      <c r="BL13" s="9">
        <v>27510</v>
      </c>
      <c r="BM13" s="9">
        <v>28038</v>
      </c>
      <c r="BN13" s="9">
        <v>37358</v>
      </c>
      <c r="BO13" s="9">
        <v>35373</v>
      </c>
      <c r="BP13" s="9">
        <v>42057</v>
      </c>
      <c r="BQ13" s="9">
        <v>32637</v>
      </c>
      <c r="BR13" s="9">
        <v>23135</v>
      </c>
      <c r="BS13" s="9">
        <v>14676</v>
      </c>
      <c r="BT13" s="9">
        <v>23979</v>
      </c>
      <c r="BU13" s="9">
        <v>22611</v>
      </c>
      <c r="BV13" s="9">
        <v>19669</v>
      </c>
      <c r="BW13" s="9">
        <v>15974</v>
      </c>
      <c r="BX13" s="9">
        <v>12007</v>
      </c>
      <c r="BY13" s="9">
        <v>7168</v>
      </c>
      <c r="BZ13" s="9">
        <v>14244</v>
      </c>
      <c r="CA13" s="9">
        <v>11215</v>
      </c>
      <c r="CB13" s="9">
        <v>16998</v>
      </c>
      <c r="CC13" s="9">
        <v>25296</v>
      </c>
      <c r="CD13" s="9">
        <v>25538</v>
      </c>
      <c r="CE13" s="9">
        <v>17223</v>
      </c>
      <c r="CF13" s="9">
        <v>9746</v>
      </c>
      <c r="CG13" s="9">
        <v>18540</v>
      </c>
      <c r="CH13" s="9">
        <v>18048</v>
      </c>
      <c r="CI13" s="9">
        <v>16383</v>
      </c>
      <c r="CJ13" s="9">
        <v>13995</v>
      </c>
      <c r="CK13" s="9">
        <v>6887</v>
      </c>
      <c r="CL13" s="9">
        <v>13473</v>
      </c>
      <c r="CM13" s="9">
        <v>14150</v>
      </c>
      <c r="CN13" s="9">
        <v>16057</v>
      </c>
      <c r="CO13" s="9">
        <v>11331</v>
      </c>
      <c r="CP13" s="9">
        <v>10046</v>
      </c>
      <c r="CQ13" s="9">
        <v>11020</v>
      </c>
      <c r="CR13" s="9">
        <v>11215</v>
      </c>
      <c r="CS13" s="9">
        <v>7269</v>
      </c>
      <c r="CT13" s="9">
        <v>7330</v>
      </c>
      <c r="CU13" s="9">
        <v>5261</v>
      </c>
      <c r="CV13" s="9">
        <v>6949</v>
      </c>
      <c r="CW13" s="9">
        <v>4565</v>
      </c>
      <c r="CX13" s="9">
        <v>5188</v>
      </c>
      <c r="CY13" s="9">
        <v>7721</v>
      </c>
      <c r="CZ13" s="9">
        <v>5960</v>
      </c>
      <c r="DA13" s="9">
        <v>8215</v>
      </c>
      <c r="DB13" s="9">
        <v>6262</v>
      </c>
      <c r="DC13" s="9">
        <v>25068</v>
      </c>
      <c r="DD13" s="9">
        <v>29221</v>
      </c>
      <c r="DE13" s="9">
        <v>41100</v>
      </c>
      <c r="DF13" s="9">
        <v>17943</v>
      </c>
      <c r="DG13" s="9">
        <v>16738</v>
      </c>
      <c r="DH13" s="9">
        <v>16114</v>
      </c>
      <c r="DI13" s="9">
        <v>9771</v>
      </c>
      <c r="DJ13" s="9">
        <v>21466</v>
      </c>
      <c r="DK13" s="9">
        <v>29844</v>
      </c>
      <c r="DL13" s="9">
        <v>20152</v>
      </c>
      <c r="DM13" s="9">
        <v>22655</v>
      </c>
      <c r="DN13" s="9">
        <v>53446</v>
      </c>
      <c r="DO13" s="9">
        <v>38314</v>
      </c>
      <c r="DP13" s="9">
        <v>16218</v>
      </c>
      <c r="DQ13" s="9">
        <v>10506</v>
      </c>
      <c r="DR13" s="9">
        <v>22899</v>
      </c>
      <c r="DS13" s="9">
        <v>11439</v>
      </c>
      <c r="DT13" s="9">
        <v>11120</v>
      </c>
      <c r="DU13" s="9">
        <v>18914</v>
      </c>
      <c r="DV13" s="9">
        <v>19465</v>
      </c>
      <c r="DW13" s="9">
        <v>60317</v>
      </c>
      <c r="DX13" s="9">
        <v>35814</v>
      </c>
      <c r="DY13" s="9">
        <v>34753</v>
      </c>
      <c r="DZ13" s="9">
        <v>64286</v>
      </c>
      <c r="EA13" s="9">
        <v>89971</v>
      </c>
      <c r="EB13" s="9">
        <v>63363</v>
      </c>
      <c r="EC13" s="9">
        <v>28570</v>
      </c>
      <c r="ED13" s="9">
        <v>37124</v>
      </c>
      <c r="EE13" s="9">
        <v>31444</v>
      </c>
      <c r="EF13" s="9">
        <v>34517</v>
      </c>
      <c r="EG13" s="9">
        <v>29647</v>
      </c>
      <c r="EH13" s="9">
        <v>44652</v>
      </c>
      <c r="EI13" s="9">
        <v>52219</v>
      </c>
      <c r="EJ13" s="9">
        <v>91649</v>
      </c>
      <c r="EK13" s="9">
        <v>74969</v>
      </c>
      <c r="EL13" s="9">
        <v>68663</v>
      </c>
      <c r="EM13" s="9">
        <v>72938</v>
      </c>
      <c r="EN13" s="9">
        <v>37630</v>
      </c>
      <c r="EO13" s="9">
        <v>37221</v>
      </c>
      <c r="EP13" s="9">
        <v>55052</v>
      </c>
      <c r="EQ13" s="9">
        <v>80172</v>
      </c>
      <c r="ER13" s="9">
        <v>137485</v>
      </c>
      <c r="ES13" s="9">
        <v>81624</v>
      </c>
      <c r="ET13" s="9">
        <v>117280</v>
      </c>
      <c r="EU13" s="9">
        <v>52559</v>
      </c>
      <c r="EV13" s="9">
        <v>57117</v>
      </c>
      <c r="EW13" s="9">
        <v>91370</v>
      </c>
      <c r="EX13" s="9">
        <v>104679</v>
      </c>
      <c r="EY13" s="9">
        <v>102306</v>
      </c>
      <c r="EZ13" s="9">
        <v>94107</v>
      </c>
      <c r="FA13" s="9">
        <v>64784</v>
      </c>
      <c r="FB13" s="9">
        <v>61423</v>
      </c>
      <c r="FC13" s="9">
        <v>83210</v>
      </c>
      <c r="FD13" s="9">
        <v>97891</v>
      </c>
      <c r="FE13" s="9">
        <v>72893</v>
      </c>
      <c r="FF13" s="9">
        <v>52059</v>
      </c>
      <c r="FG13" s="9">
        <v>79490</v>
      </c>
      <c r="FH13" s="14">
        <v>78563</v>
      </c>
      <c r="FI13" s="14">
        <v>55317</v>
      </c>
      <c r="FJ13" s="14">
        <v>88459</v>
      </c>
      <c r="FK13" s="9">
        <v>84722</v>
      </c>
      <c r="FL13" s="9">
        <v>106840</v>
      </c>
      <c r="FM13" s="14">
        <v>47360</v>
      </c>
      <c r="FN13" s="9">
        <v>90249</v>
      </c>
      <c r="FO13" s="9">
        <v>88597</v>
      </c>
      <c r="FP13" s="9">
        <v>69554</v>
      </c>
      <c r="FQ13" s="9">
        <v>31963</v>
      </c>
      <c r="FR13" s="9">
        <v>42435</v>
      </c>
      <c r="FS13" s="9">
        <v>35719</v>
      </c>
      <c r="FT13" s="9">
        <v>34742</v>
      </c>
      <c r="FU13" s="9">
        <v>66335</v>
      </c>
      <c r="FV13" s="9">
        <v>82091</v>
      </c>
      <c r="FW13" s="9">
        <v>111166</v>
      </c>
      <c r="FX13" s="9">
        <v>108591</v>
      </c>
      <c r="FY13" s="9">
        <v>70225</v>
      </c>
      <c r="FZ13" s="9">
        <v>56616</v>
      </c>
      <c r="GA13" s="9">
        <v>94028</v>
      </c>
      <c r="GB13" s="9">
        <v>81120</v>
      </c>
      <c r="GC13" s="9">
        <v>66218</v>
      </c>
      <c r="GD13" s="9">
        <v>64925</v>
      </c>
      <c r="GE13" s="9">
        <v>61581</v>
      </c>
      <c r="GF13" s="9">
        <v>52522</v>
      </c>
      <c r="GG13" s="9">
        <v>78640</v>
      </c>
      <c r="GH13" s="9">
        <v>53553</v>
      </c>
      <c r="GI13" s="9">
        <v>55413</v>
      </c>
      <c r="GJ13" s="9">
        <v>44289</v>
      </c>
      <c r="GK13" s="9">
        <v>21513</v>
      </c>
      <c r="GL13" s="9">
        <v>75410</v>
      </c>
      <c r="GM13" s="9">
        <v>33060</v>
      </c>
      <c r="GN13" s="9">
        <v>35137</v>
      </c>
      <c r="GO13" s="9">
        <v>50033</v>
      </c>
      <c r="GP13" s="9">
        <v>103765</v>
      </c>
      <c r="GQ13" s="9">
        <v>159965</v>
      </c>
      <c r="GR13" s="9">
        <v>101679</v>
      </c>
      <c r="GS13" s="9">
        <v>100039</v>
      </c>
      <c r="GT13" s="9">
        <v>180772</v>
      </c>
      <c r="GU13" s="9">
        <v>182098</v>
      </c>
      <c r="GV13" s="9">
        <v>67727</v>
      </c>
      <c r="GW13" s="9">
        <v>101141</v>
      </c>
      <c r="GX13" s="9">
        <v>172994</v>
      </c>
      <c r="GY13" s="9">
        <v>227350</v>
      </c>
      <c r="GZ13" s="9">
        <v>167270</v>
      </c>
      <c r="HA13" s="9">
        <v>200588</v>
      </c>
      <c r="HB13" s="9">
        <v>202935</v>
      </c>
      <c r="HC13" s="9">
        <v>296012</v>
      </c>
      <c r="HD13" s="9">
        <v>369068</v>
      </c>
      <c r="HE13" s="9">
        <v>349685</v>
      </c>
      <c r="HF13" s="9">
        <v>509607</v>
      </c>
      <c r="HG13" s="9">
        <v>292929</v>
      </c>
      <c r="HH13" s="9">
        <v>172596</v>
      </c>
      <c r="HI13" s="9">
        <v>264010</v>
      </c>
      <c r="HJ13" s="9">
        <v>608337</v>
      </c>
      <c r="HK13" s="9">
        <v>406570</v>
      </c>
      <c r="HL13" s="9">
        <v>324588</v>
      </c>
      <c r="HM13" s="9">
        <v>247295</v>
      </c>
      <c r="HN13" s="9">
        <v>401571</v>
      </c>
      <c r="HO13" s="9">
        <v>473085</v>
      </c>
      <c r="HP13" s="9">
        <v>340085</v>
      </c>
      <c r="HQ13" s="9">
        <v>545070</v>
      </c>
      <c r="HR13" s="9">
        <v>476899</v>
      </c>
      <c r="HS13" s="9">
        <v>245725</v>
      </c>
      <c r="HT13" s="9">
        <v>214637</v>
      </c>
      <c r="HU13" s="9">
        <v>179544</v>
      </c>
      <c r="HV13" s="9">
        <v>212147</v>
      </c>
      <c r="HW13" s="9">
        <v>212073</v>
      </c>
      <c r="HX13" s="9">
        <v>108657</v>
      </c>
      <c r="HY13" s="9">
        <v>82059</v>
      </c>
      <c r="HZ13" s="9">
        <v>107098</v>
      </c>
      <c r="IA13" s="9">
        <v>145182</v>
      </c>
      <c r="IB13" s="9">
        <v>98840</v>
      </c>
      <c r="IC13" s="9">
        <v>135434</v>
      </c>
      <c r="ID13" s="9">
        <v>397340</v>
      </c>
      <c r="IE13" s="9">
        <v>136982</v>
      </c>
      <c r="IF13" s="9">
        <v>88171</v>
      </c>
      <c r="IG13" s="9">
        <v>72886</v>
      </c>
      <c r="IH13" s="15">
        <v>116317</v>
      </c>
      <c r="II13" s="15">
        <v>81197</v>
      </c>
      <c r="IJ13" s="15">
        <v>80928</v>
      </c>
      <c r="IK13" s="9">
        <v>148172</v>
      </c>
      <c r="IL13" s="9">
        <v>215011</v>
      </c>
      <c r="IM13" s="9">
        <v>109493</v>
      </c>
      <c r="IN13" s="9">
        <v>89170</v>
      </c>
      <c r="IO13" s="9">
        <v>86244</v>
      </c>
      <c r="IP13" s="9">
        <v>113999</v>
      </c>
      <c r="IQ13" s="9">
        <v>147205</v>
      </c>
      <c r="IR13" s="9">
        <v>96537</v>
      </c>
      <c r="IS13" s="9">
        <v>71092</v>
      </c>
      <c r="IT13" s="9">
        <v>169036</v>
      </c>
      <c r="IU13" s="9">
        <v>86507</v>
      </c>
      <c r="IV13" s="9">
        <v>74332</v>
      </c>
      <c r="IW13" s="9">
        <v>97933</v>
      </c>
      <c r="IX13" s="9">
        <v>111387</v>
      </c>
      <c r="IY13" s="9">
        <v>121307</v>
      </c>
      <c r="IZ13" s="9">
        <v>215638</v>
      </c>
      <c r="JA13" s="42">
        <v>248079</v>
      </c>
      <c r="JB13" s="9">
        <v>254299</v>
      </c>
      <c r="JC13" s="9">
        <v>198218</v>
      </c>
      <c r="JD13" s="9">
        <v>224301</v>
      </c>
      <c r="JE13" s="9">
        <v>98519</v>
      </c>
      <c r="JF13" s="9">
        <v>138992</v>
      </c>
      <c r="JG13" s="9">
        <v>123684</v>
      </c>
      <c r="JH13" s="9">
        <v>94769</v>
      </c>
      <c r="JI13" s="9">
        <v>103469</v>
      </c>
      <c r="JJ13" s="9">
        <v>151476</v>
      </c>
      <c r="JK13" s="9">
        <v>118886</v>
      </c>
      <c r="JL13" s="9">
        <v>130137</v>
      </c>
      <c r="JM13" s="9">
        <v>180103</v>
      </c>
      <c r="JN13" s="9">
        <v>114892</v>
      </c>
      <c r="JO13" s="9">
        <v>136377</v>
      </c>
      <c r="JP13" s="9">
        <v>81688</v>
      </c>
      <c r="JQ13" s="9">
        <v>57277</v>
      </c>
      <c r="JR13" s="9">
        <v>82955</v>
      </c>
      <c r="JS13" s="9">
        <v>60420</v>
      </c>
      <c r="JT13" s="9">
        <v>78297</v>
      </c>
      <c r="JU13" s="9">
        <v>101828</v>
      </c>
      <c r="JV13" s="9">
        <v>104102</v>
      </c>
      <c r="JW13" s="52">
        <v>76437</v>
      </c>
      <c r="JX13" s="59">
        <v>98578</v>
      </c>
      <c r="JY13" s="59">
        <v>126644</v>
      </c>
      <c r="JZ13" s="59">
        <v>108211</v>
      </c>
      <c r="KA13" s="59">
        <v>73069</v>
      </c>
      <c r="KB13" s="59">
        <v>51383</v>
      </c>
      <c r="KC13" s="59">
        <v>40544</v>
      </c>
      <c r="KD13" s="59">
        <v>47356</v>
      </c>
      <c r="KE13" s="59">
        <v>44086</v>
      </c>
      <c r="KF13" s="59">
        <v>61390</v>
      </c>
      <c r="KG13" s="59">
        <v>83507</v>
      </c>
      <c r="KH13" s="59">
        <v>100468</v>
      </c>
      <c r="KI13" s="59">
        <v>94970</v>
      </c>
      <c r="KJ13" s="59">
        <v>95758</v>
      </c>
      <c r="KK13" s="59">
        <v>67552</v>
      </c>
      <c r="KL13" s="87">
        <v>91206</v>
      </c>
      <c r="KM13" s="96">
        <v>123475</v>
      </c>
      <c r="KN13" s="96">
        <v>70472</v>
      </c>
      <c r="KO13" s="96">
        <v>48000</v>
      </c>
      <c r="KP13" s="96">
        <v>57442</v>
      </c>
      <c r="KQ13" s="96">
        <v>103483</v>
      </c>
      <c r="KR13" s="96">
        <v>96922</v>
      </c>
      <c r="KS13" s="96">
        <v>62200</v>
      </c>
      <c r="KT13" s="96">
        <v>76043</v>
      </c>
      <c r="KU13" s="96">
        <v>57574</v>
      </c>
      <c r="KV13" s="96">
        <v>62898</v>
      </c>
      <c r="KW13" s="96">
        <v>60510</v>
      </c>
      <c r="KX13" s="96">
        <v>61117</v>
      </c>
      <c r="KY13" s="96">
        <v>67003</v>
      </c>
      <c r="KZ13" s="96">
        <v>77868</v>
      </c>
      <c r="LA13" s="105">
        <v>55713</v>
      </c>
      <c r="LB13" s="96">
        <v>80299</v>
      </c>
      <c r="LC13" s="96">
        <v>53163</v>
      </c>
      <c r="LD13" s="96">
        <v>54930</v>
      </c>
      <c r="LE13" s="96">
        <v>50409</v>
      </c>
      <c r="LF13" s="96">
        <v>63204</v>
      </c>
      <c r="LG13" s="96">
        <v>52153</v>
      </c>
      <c r="LH13" s="96">
        <v>152211</v>
      </c>
      <c r="LI13" s="96">
        <v>118315</v>
      </c>
      <c r="LJ13" s="96">
        <v>92904</v>
      </c>
      <c r="LK13" s="96">
        <v>148455</v>
      </c>
      <c r="LL13" s="96">
        <v>177067</v>
      </c>
      <c r="LM13" s="96">
        <v>107369</v>
      </c>
      <c r="LN13" s="96">
        <v>93023</v>
      </c>
      <c r="LO13" s="96">
        <v>76157</v>
      </c>
      <c r="LP13" s="96">
        <v>72271</v>
      </c>
      <c r="LQ13" s="218"/>
      <c r="LR13" s="96">
        <v>123857</v>
      </c>
      <c r="LS13" s="96">
        <v>188792</v>
      </c>
      <c r="LT13" s="111">
        <v>233983</v>
      </c>
      <c r="LU13" s="2">
        <v>246888</v>
      </c>
      <c r="LV13" s="120">
        <v>420898</v>
      </c>
      <c r="LW13" s="96">
        <v>539157</v>
      </c>
      <c r="LX13" s="96">
        <v>473822</v>
      </c>
      <c r="LY13" s="96">
        <v>499230</v>
      </c>
      <c r="LZ13" s="131">
        <v>947442</v>
      </c>
      <c r="MA13" s="131">
        <v>564521</v>
      </c>
      <c r="MB13" s="131">
        <v>322002</v>
      </c>
      <c r="MC13" s="96">
        <v>388359</v>
      </c>
      <c r="MD13" s="96">
        <v>325590</v>
      </c>
      <c r="ME13" s="96">
        <v>475391</v>
      </c>
      <c r="MF13" s="96">
        <v>441866</v>
      </c>
      <c r="MG13" s="96">
        <v>940401</v>
      </c>
      <c r="MH13" s="96">
        <v>795134</v>
      </c>
      <c r="MI13" s="96">
        <v>638509</v>
      </c>
      <c r="MJ13" s="96">
        <v>1078480</v>
      </c>
      <c r="MK13" s="96">
        <v>1092119</v>
      </c>
      <c r="ML13" s="2">
        <v>1106222</v>
      </c>
      <c r="MM13" s="96">
        <v>810820</v>
      </c>
      <c r="MN13" s="140">
        <v>490645</v>
      </c>
      <c r="MO13" s="96">
        <v>170350</v>
      </c>
      <c r="MP13" s="96">
        <v>305639</v>
      </c>
      <c r="MQ13" s="96">
        <v>261749</v>
      </c>
      <c r="MR13" s="151">
        <v>272017</v>
      </c>
      <c r="MS13" s="152">
        <v>706691</v>
      </c>
      <c r="MT13" s="152">
        <v>753626</v>
      </c>
      <c r="MU13" s="152">
        <v>420512</v>
      </c>
      <c r="MV13" s="152">
        <v>332676</v>
      </c>
      <c r="MW13" s="153">
        <v>342391</v>
      </c>
      <c r="MX13" s="96">
        <v>377001</v>
      </c>
      <c r="MY13" s="96">
        <v>395813</v>
      </c>
      <c r="MZ13" s="96">
        <v>307955</v>
      </c>
      <c r="NA13" s="96">
        <v>193282</v>
      </c>
      <c r="NB13" s="96">
        <v>202537</v>
      </c>
      <c r="NC13" s="105">
        <v>246702</v>
      </c>
      <c r="ND13" s="96">
        <v>529226</v>
      </c>
      <c r="NE13" s="96">
        <v>504255</v>
      </c>
      <c r="NF13" s="96">
        <v>246079</v>
      </c>
      <c r="NG13" s="2">
        <v>229161</v>
      </c>
      <c r="NH13" s="178">
        <v>175804</v>
      </c>
      <c r="NI13" s="2">
        <v>136226</v>
      </c>
      <c r="NJ13" s="96">
        <v>149350</v>
      </c>
      <c r="NK13" s="96">
        <v>162266</v>
      </c>
      <c r="NL13" s="96">
        <v>286939</v>
      </c>
      <c r="NM13" s="151">
        <v>359354</v>
      </c>
      <c r="NN13" s="152">
        <v>287362</v>
      </c>
      <c r="NO13" s="186">
        <v>188953</v>
      </c>
      <c r="NP13" s="152">
        <v>167920</v>
      </c>
      <c r="NQ13" s="152">
        <v>153012</v>
      </c>
      <c r="NR13" s="186">
        <v>235925</v>
      </c>
      <c r="NS13" s="152">
        <v>340969</v>
      </c>
      <c r="NT13" s="152">
        <v>368970</v>
      </c>
      <c r="NU13" s="153">
        <v>744523</v>
      </c>
      <c r="NV13" s="2">
        <v>759226</v>
      </c>
      <c r="NW13" s="2">
        <v>376379</v>
      </c>
      <c r="NX13" s="2">
        <v>254026</v>
      </c>
      <c r="NY13" s="2">
        <v>320375</v>
      </c>
      <c r="NZ13" s="2">
        <v>384133</v>
      </c>
      <c r="OA13" s="2">
        <v>632024</v>
      </c>
      <c r="OB13" s="2">
        <v>819441</v>
      </c>
      <c r="OC13" s="2">
        <v>799102</v>
      </c>
      <c r="OD13" s="2">
        <v>841311</v>
      </c>
      <c r="OE13" s="2">
        <v>865904</v>
      </c>
      <c r="OF13" s="2">
        <v>682827</v>
      </c>
      <c r="OG13" s="140">
        <v>649639</v>
      </c>
    </row>
    <row r="14" spans="1:397" s="2" customFormat="1" ht="15" customHeight="1" x14ac:dyDescent="0.25">
      <c r="A14" s="26" t="s">
        <v>8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9122</v>
      </c>
      <c r="Q14" s="9">
        <f>Q12-Q13</f>
        <v>3278</v>
      </c>
      <c r="R14" s="9">
        <f>R12-R13</f>
        <v>5587</v>
      </c>
      <c r="S14" s="9">
        <f>S12-S13</f>
        <v>5996</v>
      </c>
      <c r="T14" s="9">
        <v>5478</v>
      </c>
      <c r="U14" s="9">
        <v>6510</v>
      </c>
      <c r="V14" s="9">
        <v>8516</v>
      </c>
      <c r="W14" s="9">
        <v>4082</v>
      </c>
      <c r="X14" s="9">
        <v>5382</v>
      </c>
      <c r="Y14" s="9">
        <v>4198</v>
      </c>
      <c r="Z14" s="9">
        <v>3787</v>
      </c>
      <c r="AA14" s="9">
        <v>3463</v>
      </c>
      <c r="AB14" s="9">
        <v>5320</v>
      </c>
      <c r="AC14" s="9">
        <v>2232</v>
      </c>
      <c r="AD14" s="9">
        <v>4267</v>
      </c>
      <c r="AE14" s="9">
        <v>4685</v>
      </c>
      <c r="AF14" s="9">
        <v>1690</v>
      </c>
      <c r="AG14" s="9">
        <v>2452</v>
      </c>
      <c r="AH14" s="9">
        <v>1053</v>
      </c>
      <c r="AI14" s="9">
        <v>1020</v>
      </c>
      <c r="AJ14" s="9">
        <v>1087</v>
      </c>
      <c r="AK14" s="9">
        <v>873</v>
      </c>
      <c r="AL14" s="9">
        <v>817</v>
      </c>
      <c r="AM14" s="9">
        <v>1099</v>
      </c>
      <c r="AN14" s="9">
        <v>1471</v>
      </c>
      <c r="AO14" s="9">
        <v>576</v>
      </c>
      <c r="AP14" s="9">
        <v>630</v>
      </c>
      <c r="AQ14" s="9">
        <v>652</v>
      </c>
      <c r="AR14" s="9">
        <v>569</v>
      </c>
      <c r="AS14" s="9">
        <v>599</v>
      </c>
      <c r="AT14" s="9">
        <v>683</v>
      </c>
      <c r="AU14" s="9">
        <v>1260</v>
      </c>
      <c r="AV14" s="9">
        <v>1256</v>
      </c>
      <c r="AW14" s="9">
        <v>802</v>
      </c>
      <c r="AX14" s="9">
        <v>1318</v>
      </c>
      <c r="AY14" s="9">
        <v>713</v>
      </c>
      <c r="AZ14" s="9">
        <v>809</v>
      </c>
      <c r="BA14" s="9">
        <v>2001</v>
      </c>
      <c r="BB14" s="9">
        <v>950</v>
      </c>
      <c r="BC14" s="9">
        <v>1254</v>
      </c>
      <c r="BD14" s="9">
        <v>1679</v>
      </c>
      <c r="BE14" s="9">
        <v>1637</v>
      </c>
      <c r="BF14" s="9">
        <v>1271</v>
      </c>
      <c r="BG14" s="9">
        <v>1262</v>
      </c>
      <c r="BH14" s="9">
        <v>1504</v>
      </c>
      <c r="BI14" s="9">
        <v>2432</v>
      </c>
      <c r="BJ14" s="9">
        <v>1049</v>
      </c>
      <c r="BK14" s="9">
        <v>1385</v>
      </c>
      <c r="BL14" s="9">
        <v>1229</v>
      </c>
      <c r="BM14" s="9">
        <v>1794</v>
      </c>
      <c r="BN14" s="9">
        <v>1946</v>
      </c>
      <c r="BO14" s="9">
        <v>1857</v>
      </c>
      <c r="BP14" s="9">
        <v>2133</v>
      </c>
      <c r="BQ14" s="9">
        <v>1271</v>
      </c>
      <c r="BR14" s="9">
        <v>1391</v>
      </c>
      <c r="BS14" s="9">
        <v>775</v>
      </c>
      <c r="BT14" s="9">
        <v>1528</v>
      </c>
      <c r="BU14" s="9">
        <v>1045</v>
      </c>
      <c r="BV14" s="9">
        <v>1098</v>
      </c>
      <c r="BW14" s="9">
        <v>1067</v>
      </c>
      <c r="BX14" s="9">
        <v>912</v>
      </c>
      <c r="BY14" s="9">
        <v>624</v>
      </c>
      <c r="BZ14" s="9">
        <v>935</v>
      </c>
      <c r="CA14" s="9">
        <v>726</v>
      </c>
      <c r="CB14" s="9">
        <v>1751</v>
      </c>
      <c r="CC14" s="9">
        <v>1392</v>
      </c>
      <c r="CD14" s="9">
        <v>1000</v>
      </c>
      <c r="CE14" s="9">
        <v>684</v>
      </c>
      <c r="CF14" s="9">
        <v>764</v>
      </c>
      <c r="CG14" s="9">
        <v>1189</v>
      </c>
      <c r="CH14" s="9">
        <v>1108</v>
      </c>
      <c r="CI14" s="9">
        <v>943</v>
      </c>
      <c r="CJ14" s="9">
        <v>1163</v>
      </c>
      <c r="CK14" s="9">
        <v>688</v>
      </c>
      <c r="CL14" s="9">
        <v>1070</v>
      </c>
      <c r="CM14" s="9">
        <v>880</v>
      </c>
      <c r="CN14" s="9">
        <v>1339</v>
      </c>
      <c r="CO14" s="9">
        <v>532</v>
      </c>
      <c r="CP14" s="9">
        <v>522</v>
      </c>
      <c r="CQ14" s="9">
        <v>593</v>
      </c>
      <c r="CR14" s="9">
        <v>888</v>
      </c>
      <c r="CS14" s="9">
        <v>679</v>
      </c>
      <c r="CT14" s="9">
        <v>329</v>
      </c>
      <c r="CU14" s="9">
        <v>363</v>
      </c>
      <c r="CV14" s="9">
        <v>404</v>
      </c>
      <c r="CW14" s="9">
        <v>304</v>
      </c>
      <c r="CX14" s="9">
        <v>519</v>
      </c>
      <c r="CY14" s="9">
        <v>545</v>
      </c>
      <c r="CZ14" s="9">
        <v>228</v>
      </c>
      <c r="DA14" s="9">
        <v>714</v>
      </c>
      <c r="DB14" s="9">
        <v>320</v>
      </c>
      <c r="DC14" s="9">
        <v>870</v>
      </c>
      <c r="DD14" s="9">
        <v>1233</v>
      </c>
      <c r="DE14" s="9">
        <v>1054</v>
      </c>
      <c r="DF14" s="9">
        <v>644</v>
      </c>
      <c r="DG14" s="9">
        <v>545</v>
      </c>
      <c r="DH14" s="9">
        <v>647</v>
      </c>
      <c r="DI14" s="9">
        <v>425</v>
      </c>
      <c r="DJ14" s="9">
        <v>814</v>
      </c>
      <c r="DK14" s="9">
        <v>1020</v>
      </c>
      <c r="DL14" s="9">
        <v>1136</v>
      </c>
      <c r="DM14" s="9">
        <v>1281</v>
      </c>
      <c r="DN14" s="9">
        <v>1361</v>
      </c>
      <c r="DO14" s="9">
        <v>1096</v>
      </c>
      <c r="DP14" s="9">
        <v>569</v>
      </c>
      <c r="DQ14" s="9">
        <v>420</v>
      </c>
      <c r="DR14" s="9">
        <v>1509</v>
      </c>
      <c r="DS14" s="9">
        <v>682</v>
      </c>
      <c r="DT14" s="9">
        <v>447</v>
      </c>
      <c r="DU14" s="9">
        <v>652</v>
      </c>
      <c r="DV14" s="9">
        <v>1017</v>
      </c>
      <c r="DW14" s="9">
        <v>2653</v>
      </c>
      <c r="DX14" s="9">
        <v>2324</v>
      </c>
      <c r="DY14" s="9">
        <v>1984</v>
      </c>
      <c r="DZ14" s="9">
        <v>3096</v>
      </c>
      <c r="EA14" s="9">
        <v>3894</v>
      </c>
      <c r="EB14" s="9">
        <v>2483</v>
      </c>
      <c r="EC14" s="9">
        <v>1302</v>
      </c>
      <c r="ED14" s="9">
        <v>1932</v>
      </c>
      <c r="EE14" s="9">
        <v>1786</v>
      </c>
      <c r="EF14" s="9">
        <v>2059</v>
      </c>
      <c r="EG14" s="9">
        <v>1898</v>
      </c>
      <c r="EH14" s="9">
        <v>2305</v>
      </c>
      <c r="EI14" s="9">
        <v>2435</v>
      </c>
      <c r="EJ14" s="9">
        <v>4469</v>
      </c>
      <c r="EK14" s="9">
        <v>2728</v>
      </c>
      <c r="EL14" s="9">
        <v>4858</v>
      </c>
      <c r="EM14" s="9">
        <v>4084</v>
      </c>
      <c r="EN14" s="9">
        <v>2160</v>
      </c>
      <c r="EO14" s="9">
        <v>2716</v>
      </c>
      <c r="EP14" s="9">
        <v>3893</v>
      </c>
      <c r="EQ14" s="9">
        <v>4649</v>
      </c>
      <c r="ER14" s="9">
        <v>5799</v>
      </c>
      <c r="ES14" s="9">
        <v>4295</v>
      </c>
      <c r="ET14" s="9">
        <v>5077</v>
      </c>
      <c r="EU14" s="9">
        <v>2140</v>
      </c>
      <c r="EV14" s="9">
        <v>7595</v>
      </c>
      <c r="EW14" s="9">
        <v>7882</v>
      </c>
      <c r="EX14" s="9">
        <v>6526</v>
      </c>
      <c r="EY14" s="9">
        <v>4562</v>
      </c>
      <c r="EZ14" s="9">
        <v>6102</v>
      </c>
      <c r="FA14" s="9">
        <v>3396</v>
      </c>
      <c r="FB14" s="9">
        <v>4361</v>
      </c>
      <c r="FC14" s="9">
        <v>3886</v>
      </c>
      <c r="FD14" s="9">
        <v>4882</v>
      </c>
      <c r="FE14" s="9">
        <v>3292</v>
      </c>
      <c r="FF14" s="9">
        <v>2786</v>
      </c>
      <c r="FG14" s="9">
        <v>3488</v>
      </c>
      <c r="FH14" s="14">
        <v>3122</v>
      </c>
      <c r="FI14" s="14">
        <v>2390</v>
      </c>
      <c r="FJ14" s="14">
        <v>2947</v>
      </c>
      <c r="FK14" s="9">
        <v>3631</v>
      </c>
      <c r="FL14" s="9">
        <v>6275</v>
      </c>
      <c r="FM14" s="14">
        <v>3100</v>
      </c>
      <c r="FN14" s="9">
        <v>4834</v>
      </c>
      <c r="FO14" s="9">
        <v>5465</v>
      </c>
      <c r="FP14" s="9">
        <v>3816</v>
      </c>
      <c r="FQ14" s="9">
        <v>1660</v>
      </c>
      <c r="FR14" s="9">
        <v>3723</v>
      </c>
      <c r="FS14" s="9">
        <v>2978</v>
      </c>
      <c r="FT14" s="9">
        <v>2319</v>
      </c>
      <c r="FU14" s="9">
        <v>3469</v>
      </c>
      <c r="FV14" s="9">
        <v>4332</v>
      </c>
      <c r="FW14" s="9">
        <v>4968</v>
      </c>
      <c r="FX14" s="9">
        <v>4310</v>
      </c>
      <c r="FY14" s="9">
        <v>3387</v>
      </c>
      <c r="FZ14" s="9">
        <v>3505</v>
      </c>
      <c r="GA14" s="9">
        <v>6650</v>
      </c>
      <c r="GB14" s="9">
        <v>5921</v>
      </c>
      <c r="GC14" s="9">
        <v>4706</v>
      </c>
      <c r="GD14" s="9">
        <v>3420</v>
      </c>
      <c r="GE14" s="9">
        <v>2325</v>
      </c>
      <c r="GF14" s="9">
        <v>3036</v>
      </c>
      <c r="GG14" s="9">
        <v>5230</v>
      </c>
      <c r="GH14" s="9">
        <v>3561</v>
      </c>
      <c r="GI14" s="9">
        <v>3963</v>
      </c>
      <c r="GJ14" s="9">
        <v>2321</v>
      </c>
      <c r="GK14" s="9">
        <v>1188</v>
      </c>
      <c r="GL14" s="9">
        <v>4459</v>
      </c>
      <c r="GM14" s="9">
        <v>2591</v>
      </c>
      <c r="GN14" s="9">
        <v>2257</v>
      </c>
      <c r="GO14" s="9">
        <v>3835</v>
      </c>
      <c r="GP14" s="9">
        <v>10146</v>
      </c>
      <c r="GQ14" s="9">
        <v>10189</v>
      </c>
      <c r="GR14" s="9">
        <v>6206</v>
      </c>
      <c r="GS14" s="9">
        <v>5951</v>
      </c>
      <c r="GT14" s="9">
        <v>8990</v>
      </c>
      <c r="GU14" s="9">
        <v>9711</v>
      </c>
      <c r="GV14" s="9">
        <v>4458</v>
      </c>
      <c r="GW14" s="9">
        <v>6680</v>
      </c>
      <c r="GX14" s="9">
        <v>10572</v>
      </c>
      <c r="GY14" s="9">
        <v>9597</v>
      </c>
      <c r="GZ14" s="9">
        <v>7654</v>
      </c>
      <c r="HA14" s="9">
        <v>9701</v>
      </c>
      <c r="HB14" s="9">
        <v>7762</v>
      </c>
      <c r="HC14" s="9">
        <v>12805</v>
      </c>
      <c r="HD14" s="9">
        <v>12223</v>
      </c>
      <c r="HE14" s="9">
        <v>11716</v>
      </c>
      <c r="HF14" s="9">
        <v>19722</v>
      </c>
      <c r="HG14" s="9">
        <v>12211</v>
      </c>
      <c r="HH14" s="9">
        <v>6734</v>
      </c>
      <c r="HI14" s="9">
        <v>9384</v>
      </c>
      <c r="HJ14" s="9">
        <v>16345</v>
      </c>
      <c r="HK14" s="9">
        <v>11879</v>
      </c>
      <c r="HL14" s="9">
        <v>11142</v>
      </c>
      <c r="HM14" s="9">
        <v>7091</v>
      </c>
      <c r="HN14" s="9">
        <v>10604</v>
      </c>
      <c r="HO14" s="9">
        <v>12540</v>
      </c>
      <c r="HP14" s="9">
        <v>8793</v>
      </c>
      <c r="HQ14" s="9">
        <v>10071</v>
      </c>
      <c r="HR14" s="9">
        <v>9687</v>
      </c>
      <c r="HS14" s="9">
        <v>6321</v>
      </c>
      <c r="HT14" s="9">
        <v>5788</v>
      </c>
      <c r="HU14" s="9">
        <v>5685</v>
      </c>
      <c r="HV14" s="9">
        <v>6422</v>
      </c>
      <c r="HW14" s="9">
        <v>6269</v>
      </c>
      <c r="HX14" s="9">
        <v>5142</v>
      </c>
      <c r="HY14" s="9">
        <v>4069</v>
      </c>
      <c r="HZ14" s="9">
        <v>4906</v>
      </c>
      <c r="IA14" s="9">
        <v>4267</v>
      </c>
      <c r="IB14" s="9">
        <v>3153</v>
      </c>
      <c r="IC14" s="9">
        <v>3972</v>
      </c>
      <c r="ID14" s="9">
        <v>10653</v>
      </c>
      <c r="IE14" s="9">
        <v>4414</v>
      </c>
      <c r="IF14" s="9">
        <v>3600</v>
      </c>
      <c r="IG14" s="9">
        <v>3648</v>
      </c>
      <c r="IH14" s="15">
        <v>6328</v>
      </c>
      <c r="II14" s="15">
        <v>5140</v>
      </c>
      <c r="IJ14" s="15">
        <v>4879</v>
      </c>
      <c r="IK14" s="9">
        <v>5853</v>
      </c>
      <c r="IL14" s="9">
        <v>9527</v>
      </c>
      <c r="IM14" s="9">
        <v>5258</v>
      </c>
      <c r="IN14" s="9">
        <v>4738</v>
      </c>
      <c r="IO14" s="9">
        <v>5217</v>
      </c>
      <c r="IP14" s="9">
        <v>4530</v>
      </c>
      <c r="IQ14" s="9">
        <v>5267</v>
      </c>
      <c r="IR14" s="9">
        <v>4906</v>
      </c>
      <c r="IS14" s="9">
        <v>4295</v>
      </c>
      <c r="IT14" s="9">
        <v>8020</v>
      </c>
      <c r="IU14" s="9">
        <v>4640</v>
      </c>
      <c r="IV14" s="9">
        <v>4680</v>
      </c>
      <c r="IW14" s="9">
        <v>4668</v>
      </c>
      <c r="IX14" s="9">
        <v>5384</v>
      </c>
      <c r="IY14" s="9">
        <v>6114</v>
      </c>
      <c r="IZ14" s="9">
        <v>7955</v>
      </c>
      <c r="JA14" s="42">
        <v>7689</v>
      </c>
      <c r="JB14" s="9">
        <v>10051</v>
      </c>
      <c r="JC14" s="9">
        <v>9412</v>
      </c>
      <c r="JD14" s="9">
        <v>9667</v>
      </c>
      <c r="JE14" s="9">
        <v>4873</v>
      </c>
      <c r="JF14" s="9">
        <v>8124</v>
      </c>
      <c r="JG14" s="9">
        <v>8607</v>
      </c>
      <c r="JH14" s="9">
        <v>5812</v>
      </c>
      <c r="JI14" s="9">
        <v>4853</v>
      </c>
      <c r="JJ14" s="9">
        <v>6579</v>
      </c>
      <c r="JK14" s="9">
        <v>5199</v>
      </c>
      <c r="JL14" s="9">
        <v>5895</v>
      </c>
      <c r="JM14" s="9">
        <v>7994</v>
      </c>
      <c r="JN14" s="9">
        <v>5226</v>
      </c>
      <c r="JO14" s="9">
        <v>5751</v>
      </c>
      <c r="JP14" s="9">
        <v>6304</v>
      </c>
      <c r="JQ14" s="9">
        <v>4696</v>
      </c>
      <c r="JR14" s="9">
        <v>5119</v>
      </c>
      <c r="JS14" s="9">
        <v>4238</v>
      </c>
      <c r="JT14" s="9">
        <v>4713</v>
      </c>
      <c r="JU14" s="9">
        <v>4777</v>
      </c>
      <c r="JV14" s="9">
        <v>5838</v>
      </c>
      <c r="JW14" s="52">
        <v>4933</v>
      </c>
      <c r="JX14" s="59">
        <v>4546</v>
      </c>
      <c r="JY14" s="59">
        <v>6532</v>
      </c>
      <c r="JZ14" s="59">
        <v>4033</v>
      </c>
      <c r="KA14" s="59">
        <v>3080</v>
      </c>
      <c r="KB14" s="59">
        <v>3408</v>
      </c>
      <c r="KC14" s="59">
        <v>3164</v>
      </c>
      <c r="KD14" s="59">
        <v>3366</v>
      </c>
      <c r="KE14" s="59">
        <v>2989</v>
      </c>
      <c r="KF14" s="59">
        <v>4118</v>
      </c>
      <c r="KG14" s="59">
        <v>5987</v>
      </c>
      <c r="KH14" s="59">
        <v>4436</v>
      </c>
      <c r="KI14" s="59">
        <v>5443</v>
      </c>
      <c r="KJ14" s="59">
        <v>5836</v>
      </c>
      <c r="KK14" s="59">
        <v>4239</v>
      </c>
      <c r="KL14" s="87">
        <v>4357</v>
      </c>
      <c r="KM14" s="96">
        <v>5626</v>
      </c>
      <c r="KN14" s="96">
        <v>4090</v>
      </c>
      <c r="KO14" s="96">
        <v>3250</v>
      </c>
      <c r="KP14" s="96">
        <v>3504</v>
      </c>
      <c r="KQ14" s="96">
        <v>5503</v>
      </c>
      <c r="KR14" s="96">
        <v>3947</v>
      </c>
      <c r="KS14" s="96">
        <v>3848</v>
      </c>
      <c r="KT14" s="96">
        <v>4694</v>
      </c>
      <c r="KU14" s="96">
        <v>3832</v>
      </c>
      <c r="KV14" s="96">
        <v>3875</v>
      </c>
      <c r="KW14" s="96">
        <v>4237</v>
      </c>
      <c r="KX14" s="96">
        <v>4167</v>
      </c>
      <c r="KY14" s="96">
        <v>3096</v>
      </c>
      <c r="KZ14" s="96">
        <v>3334</v>
      </c>
      <c r="LA14" s="105">
        <v>2847</v>
      </c>
      <c r="LB14" s="96">
        <v>2597</v>
      </c>
      <c r="LC14" s="96">
        <v>2200</v>
      </c>
      <c r="LD14" s="96">
        <v>2286</v>
      </c>
      <c r="LE14" s="96">
        <v>2306</v>
      </c>
      <c r="LF14" s="96">
        <v>3034</v>
      </c>
      <c r="LG14" s="96">
        <v>2773</v>
      </c>
      <c r="LH14" s="96">
        <v>6383</v>
      </c>
      <c r="LI14" s="96">
        <v>4063</v>
      </c>
      <c r="LJ14" s="96">
        <v>3024</v>
      </c>
      <c r="LK14" s="96">
        <v>6768</v>
      </c>
      <c r="LL14" s="96">
        <v>6246</v>
      </c>
      <c r="LM14" s="96">
        <v>5046</v>
      </c>
      <c r="LN14" s="96">
        <v>4071</v>
      </c>
      <c r="LO14" s="96">
        <v>3835</v>
      </c>
      <c r="LP14" s="96">
        <v>4672</v>
      </c>
      <c r="LQ14" s="218"/>
      <c r="LR14" s="96">
        <v>14616</v>
      </c>
      <c r="LS14" s="96">
        <v>12509</v>
      </c>
      <c r="LT14" s="111">
        <v>10718</v>
      </c>
      <c r="LU14" s="2">
        <v>10638</v>
      </c>
      <c r="LV14" s="120">
        <v>11845</v>
      </c>
      <c r="LW14" s="96">
        <v>10032</v>
      </c>
      <c r="LX14" s="96">
        <v>10805</v>
      </c>
      <c r="LY14" s="96">
        <v>8202</v>
      </c>
      <c r="LZ14" s="131">
        <v>15515</v>
      </c>
      <c r="MA14" s="96">
        <v>10568</v>
      </c>
      <c r="MB14" s="131">
        <v>9451</v>
      </c>
      <c r="MC14" s="96">
        <v>8313</v>
      </c>
      <c r="MD14" s="96">
        <v>7468</v>
      </c>
      <c r="ME14" s="96">
        <v>9008</v>
      </c>
      <c r="MF14" s="96">
        <v>9283</v>
      </c>
      <c r="MG14" s="96">
        <v>10674</v>
      </c>
      <c r="MH14" s="96">
        <v>9072</v>
      </c>
      <c r="MI14" s="96">
        <v>7506</v>
      </c>
      <c r="MJ14" s="96">
        <v>13302</v>
      </c>
      <c r="MK14" s="96">
        <v>11534</v>
      </c>
      <c r="ML14" s="138">
        <v>13857</v>
      </c>
      <c r="MM14" s="96">
        <v>8736</v>
      </c>
      <c r="MN14" s="140">
        <v>6510</v>
      </c>
      <c r="MO14" s="96">
        <v>3090</v>
      </c>
      <c r="MP14" s="96">
        <v>5410</v>
      </c>
      <c r="MQ14" s="96">
        <v>4545</v>
      </c>
      <c r="MR14" s="151">
        <v>4440</v>
      </c>
      <c r="MS14" s="152">
        <v>10606</v>
      </c>
      <c r="MT14" s="152">
        <v>10124</v>
      </c>
      <c r="MU14" s="152">
        <v>5945</v>
      </c>
      <c r="MV14" s="152">
        <v>5533</v>
      </c>
      <c r="MW14" s="153">
        <v>5099</v>
      </c>
      <c r="MX14" s="96">
        <v>4482</v>
      </c>
      <c r="MY14" s="96">
        <v>8277</v>
      </c>
      <c r="MZ14" s="96">
        <v>6290</v>
      </c>
      <c r="NA14" s="96">
        <v>4786</v>
      </c>
      <c r="NB14" s="96">
        <v>3362</v>
      </c>
      <c r="NC14" s="105">
        <v>3874</v>
      </c>
      <c r="ND14" s="96">
        <v>9682</v>
      </c>
      <c r="NE14" s="96">
        <v>11004</v>
      </c>
      <c r="NF14" s="96">
        <v>5013</v>
      </c>
      <c r="NG14" s="2">
        <v>6487</v>
      </c>
      <c r="NH14" s="178">
        <v>5986</v>
      </c>
      <c r="NI14" s="2">
        <v>5676</v>
      </c>
      <c r="NJ14" s="96">
        <v>5404</v>
      </c>
      <c r="NK14" s="96">
        <v>5166</v>
      </c>
      <c r="NL14" s="96">
        <v>6470</v>
      </c>
      <c r="NM14" s="151">
        <v>7462</v>
      </c>
      <c r="NN14" s="152">
        <v>5473</v>
      </c>
      <c r="NO14" s="186">
        <v>4547</v>
      </c>
      <c r="NP14" s="152">
        <v>5736</v>
      </c>
      <c r="NQ14" s="152">
        <v>4191</v>
      </c>
      <c r="NR14" s="186">
        <v>5947</v>
      </c>
      <c r="NS14" s="152">
        <v>6772</v>
      </c>
      <c r="NT14" s="152">
        <v>7429</v>
      </c>
      <c r="NU14" s="153">
        <v>13927</v>
      </c>
      <c r="NV14" s="2">
        <v>13163</v>
      </c>
      <c r="NW14" s="2">
        <v>8444</v>
      </c>
      <c r="NX14" s="2">
        <v>4595</v>
      </c>
      <c r="NY14" s="2">
        <v>6497</v>
      </c>
      <c r="NZ14" s="2">
        <v>8022</v>
      </c>
      <c r="OA14" s="2">
        <v>9076</v>
      </c>
      <c r="OB14" s="2">
        <v>8657</v>
      </c>
      <c r="OC14" s="2">
        <v>9097</v>
      </c>
      <c r="OD14" s="2">
        <v>11073</v>
      </c>
      <c r="OE14" s="2">
        <v>11451</v>
      </c>
      <c r="OF14" s="2">
        <v>10627</v>
      </c>
      <c r="OG14" s="140">
        <v>7906</v>
      </c>
    </row>
    <row r="15" spans="1:397" s="2" customFormat="1" ht="15" customHeight="1" x14ac:dyDescent="0.25">
      <c r="A15" s="26" t="s">
        <v>9</v>
      </c>
      <c r="B15" s="9">
        <v>6207967</v>
      </c>
      <c r="C15" s="9">
        <v>7103780</v>
      </c>
      <c r="D15" s="9">
        <v>9809809</v>
      </c>
      <c r="E15" s="9">
        <v>13884246</v>
      </c>
      <c r="F15" s="9">
        <v>12002564</v>
      </c>
      <c r="G15" s="9">
        <v>24643853</v>
      </c>
      <c r="H15" s="9">
        <v>49199773</v>
      </c>
      <c r="I15" s="9">
        <v>38264006</v>
      </c>
      <c r="J15" s="9">
        <v>30092175</v>
      </c>
      <c r="K15" s="9">
        <v>36455073</v>
      </c>
      <c r="L15" s="9">
        <v>69048435</v>
      </c>
      <c r="M15" s="9">
        <v>54446328</v>
      </c>
      <c r="N15" s="9">
        <v>67233443</v>
      </c>
      <c r="O15" s="9">
        <v>68571988</v>
      </c>
      <c r="P15" s="9">
        <v>63733185</v>
      </c>
      <c r="Q15" s="9">
        <v>28964391</v>
      </c>
      <c r="R15" s="9">
        <v>26326204</v>
      </c>
      <c r="S15" s="9">
        <v>30474484</v>
      </c>
      <c r="T15" s="9">
        <v>29858275</v>
      </c>
      <c r="U15" s="9">
        <v>35396067</v>
      </c>
      <c r="V15" s="9">
        <v>66676020</v>
      </c>
      <c r="W15" s="9">
        <v>30519165</v>
      </c>
      <c r="X15" s="9">
        <v>25453274</v>
      </c>
      <c r="Y15" s="9">
        <v>32903854</v>
      </c>
      <c r="Z15" s="9">
        <v>19245349</v>
      </c>
      <c r="AA15" s="9">
        <v>26839622</v>
      </c>
      <c r="AB15" s="9">
        <v>35897809</v>
      </c>
      <c r="AC15" s="9">
        <v>17036588</v>
      </c>
      <c r="AD15" s="9">
        <v>42659676</v>
      </c>
      <c r="AE15" s="9">
        <v>30494103</v>
      </c>
      <c r="AF15" s="9">
        <v>20507063</v>
      </c>
      <c r="AG15" s="9">
        <v>22961414</v>
      </c>
      <c r="AH15" s="9">
        <v>18246643</v>
      </c>
      <c r="AI15" s="9">
        <v>16581684</v>
      </c>
      <c r="AJ15" s="9">
        <v>24002244</v>
      </c>
      <c r="AK15" s="9">
        <v>43028761</v>
      </c>
      <c r="AL15" s="9">
        <v>22654648</v>
      </c>
      <c r="AM15" s="9">
        <v>18317024</v>
      </c>
      <c r="AN15" s="9">
        <v>23561940</v>
      </c>
      <c r="AO15" s="9">
        <v>15136421</v>
      </c>
      <c r="AP15" s="9">
        <v>10674722</v>
      </c>
      <c r="AQ15" s="9">
        <v>10452163</v>
      </c>
      <c r="AR15" s="9">
        <v>11766454</v>
      </c>
      <c r="AS15" s="9">
        <v>11829822</v>
      </c>
      <c r="AT15" s="9">
        <v>14324791</v>
      </c>
      <c r="AU15" s="9">
        <v>31698811</v>
      </c>
      <c r="AV15" s="9">
        <v>30448395</v>
      </c>
      <c r="AW15" s="9">
        <v>25686942</v>
      </c>
      <c r="AX15" s="9">
        <v>24168068</v>
      </c>
      <c r="AY15" s="9">
        <v>16666273</v>
      </c>
      <c r="AZ15" s="9">
        <v>37626753</v>
      </c>
      <c r="BA15" s="9">
        <v>65149697</v>
      </c>
      <c r="BB15" s="9">
        <v>53431989</v>
      </c>
      <c r="BC15" s="9">
        <v>42808834</v>
      </c>
      <c r="BD15" s="9">
        <v>60533634</v>
      </c>
      <c r="BE15" s="9">
        <v>63218669</v>
      </c>
      <c r="BF15" s="9">
        <v>42482054</v>
      </c>
      <c r="BG15" s="9">
        <v>41758804</v>
      </c>
      <c r="BH15" s="9">
        <v>33546709</v>
      </c>
      <c r="BI15" s="9">
        <v>27887035</v>
      </c>
      <c r="BJ15" s="9">
        <v>35813317</v>
      </c>
      <c r="BK15" s="9">
        <v>47754589</v>
      </c>
      <c r="BL15" s="9">
        <v>46900429</v>
      </c>
      <c r="BM15" s="9">
        <v>57482036</v>
      </c>
      <c r="BN15" s="9">
        <v>63725295</v>
      </c>
      <c r="BO15" s="9">
        <v>70537248</v>
      </c>
      <c r="BP15" s="9">
        <v>64169249</v>
      </c>
      <c r="BQ15" s="9">
        <v>42482054</v>
      </c>
      <c r="BR15" s="9">
        <v>42696508</v>
      </c>
      <c r="BS15" s="9">
        <v>45956709</v>
      </c>
      <c r="BT15" s="9">
        <v>86044502</v>
      </c>
      <c r="BU15" s="9">
        <v>30671685</v>
      </c>
      <c r="BV15" s="9">
        <v>28673806</v>
      </c>
      <c r="BW15" s="9">
        <v>32802456</v>
      </c>
      <c r="BX15" s="9">
        <v>29271569</v>
      </c>
      <c r="BY15" s="9">
        <v>16211823</v>
      </c>
      <c r="BZ15" s="9">
        <v>78223219</v>
      </c>
      <c r="CA15" s="9">
        <v>24718350</v>
      </c>
      <c r="CB15" s="9">
        <v>56143739</v>
      </c>
      <c r="CC15" s="9">
        <v>54076028</v>
      </c>
      <c r="CD15" s="9">
        <v>43981962</v>
      </c>
      <c r="CE15" s="9">
        <v>39201261</v>
      </c>
      <c r="CF15" s="9">
        <v>38404108</v>
      </c>
      <c r="CG15" s="9">
        <v>44114002</v>
      </c>
      <c r="CH15" s="9">
        <v>21059112</v>
      </c>
      <c r="CI15" s="9">
        <v>46016282</v>
      </c>
      <c r="CJ15" s="9">
        <v>40589407</v>
      </c>
      <c r="CK15" s="9">
        <v>23724500</v>
      </c>
      <c r="CL15" s="9">
        <v>39562317</v>
      </c>
      <c r="CM15" s="9">
        <v>42386991</v>
      </c>
      <c r="CN15" s="9">
        <v>89101077</v>
      </c>
      <c r="CO15" s="9">
        <v>35370636</v>
      </c>
      <c r="CP15" s="9">
        <v>35904422</v>
      </c>
      <c r="CQ15" s="9">
        <v>27471737</v>
      </c>
      <c r="CR15" s="9">
        <v>25927766</v>
      </c>
      <c r="CS15" s="9">
        <v>21473800</v>
      </c>
      <c r="CT15" s="9">
        <v>27825627</v>
      </c>
      <c r="CU15" s="9">
        <v>15396926</v>
      </c>
      <c r="CV15" s="9">
        <v>21165055</v>
      </c>
      <c r="CW15" s="9">
        <f>SUM(CW16:CW17)</f>
        <v>25121102</v>
      </c>
      <c r="CX15" s="9">
        <f>SUM(CX16:CX17)</f>
        <v>22122815</v>
      </c>
      <c r="CY15" s="9">
        <f>SUM(CY16:CY17)</f>
        <v>44257480</v>
      </c>
      <c r="CZ15" s="9">
        <v>20684895</v>
      </c>
      <c r="DA15" s="9">
        <v>117166321</v>
      </c>
      <c r="DB15" s="9">
        <v>34429700</v>
      </c>
      <c r="DC15" s="9">
        <v>101472761</v>
      </c>
      <c r="DD15" s="9">
        <v>127501112</v>
      </c>
      <c r="DE15" s="9">
        <v>189817966</v>
      </c>
      <c r="DF15" s="9">
        <v>72005457</v>
      </c>
      <c r="DG15" s="9">
        <v>75993546</v>
      </c>
      <c r="DH15" s="9">
        <v>114294177</v>
      </c>
      <c r="DI15" s="9">
        <v>41376948</v>
      </c>
      <c r="DJ15" s="9">
        <v>88468364</v>
      </c>
      <c r="DK15" s="9">
        <v>196466759</v>
      </c>
      <c r="DL15" s="9">
        <v>82213222</v>
      </c>
      <c r="DM15" s="9">
        <v>75827357</v>
      </c>
      <c r="DN15" s="9">
        <v>235535905</v>
      </c>
      <c r="DO15" s="9">
        <v>143077653</v>
      </c>
      <c r="DP15" s="9">
        <v>51829124</v>
      </c>
      <c r="DQ15" s="9">
        <v>42955694</v>
      </c>
      <c r="DR15" s="9">
        <v>80144899</v>
      </c>
      <c r="DS15" s="9">
        <v>47740044</v>
      </c>
      <c r="DT15" s="9">
        <v>39566589</v>
      </c>
      <c r="DU15" s="9">
        <v>87647533</v>
      </c>
      <c r="DV15" s="9">
        <v>87880400</v>
      </c>
      <c r="DW15" s="9">
        <v>274393812</v>
      </c>
      <c r="DX15" s="9">
        <v>124099571</v>
      </c>
      <c r="DY15" s="9">
        <v>137268808</v>
      </c>
      <c r="DZ15" s="9">
        <v>483693546</v>
      </c>
      <c r="EA15" s="9">
        <v>496318007</v>
      </c>
      <c r="EB15" s="9">
        <v>270251743</v>
      </c>
      <c r="EC15" s="9">
        <v>126492546</v>
      </c>
      <c r="ED15" s="9">
        <v>132034288</v>
      </c>
      <c r="EE15" s="9">
        <v>104435425</v>
      </c>
      <c r="EF15" s="9">
        <v>109463021</v>
      </c>
      <c r="EG15" s="9">
        <v>128926007</v>
      </c>
      <c r="EH15" s="9">
        <v>228824223</v>
      </c>
      <c r="EI15" s="9">
        <v>269667563</v>
      </c>
      <c r="EJ15" s="9">
        <v>486390023</v>
      </c>
      <c r="EK15" s="9">
        <v>422777727</v>
      </c>
      <c r="EL15" s="9">
        <v>282973737</v>
      </c>
      <c r="EM15" s="9">
        <v>278125226</v>
      </c>
      <c r="EN15" s="9">
        <v>150900382</v>
      </c>
      <c r="EO15" s="9">
        <v>157517817</v>
      </c>
      <c r="EP15" s="9">
        <v>238300535</v>
      </c>
      <c r="EQ15" s="9">
        <v>553152040</v>
      </c>
      <c r="ER15" s="9">
        <v>932382531</v>
      </c>
      <c r="ES15" s="9">
        <v>310252941</v>
      </c>
      <c r="ET15" s="9">
        <v>436073517</v>
      </c>
      <c r="EU15" s="9">
        <v>175732504</v>
      </c>
      <c r="EV15" s="9">
        <v>362597978</v>
      </c>
      <c r="EW15" s="9">
        <v>654793848</v>
      </c>
      <c r="EX15" s="9">
        <v>394589143</v>
      </c>
      <c r="EY15" s="9">
        <v>414625317</v>
      </c>
      <c r="EZ15" s="9">
        <v>422312224</v>
      </c>
      <c r="FA15" s="9">
        <v>233465661</v>
      </c>
      <c r="FB15" s="9">
        <v>283475235</v>
      </c>
      <c r="FC15" s="9">
        <v>217292556</v>
      </c>
      <c r="FD15" s="9">
        <v>362569687</v>
      </c>
      <c r="FE15" s="9">
        <v>261260899</v>
      </c>
      <c r="FF15" s="9">
        <v>166190973</v>
      </c>
      <c r="FG15" s="9">
        <v>290136739</v>
      </c>
      <c r="FH15" s="14">
        <v>626577044</v>
      </c>
      <c r="FI15" s="14">
        <f>(FI16+FI17)</f>
        <v>275154815</v>
      </c>
      <c r="FJ15" s="14">
        <f>(FJ16+FJ17)</f>
        <v>328704977</v>
      </c>
      <c r="FK15" s="9">
        <v>306215786</v>
      </c>
      <c r="FL15" s="9">
        <v>646549778</v>
      </c>
      <c r="FM15" s="14">
        <v>148219261</v>
      </c>
      <c r="FN15" s="9">
        <v>337627585</v>
      </c>
      <c r="FO15" s="9">
        <v>337941455</v>
      </c>
      <c r="FP15" s="9">
        <v>245807745</v>
      </c>
      <c r="FQ15" s="9">
        <v>81569117</v>
      </c>
      <c r="FR15" s="9">
        <v>427532234</v>
      </c>
      <c r="FS15" s="9">
        <v>192688731</v>
      </c>
      <c r="FT15" s="9">
        <v>107155533</v>
      </c>
      <c r="FU15" s="9">
        <v>211384005</v>
      </c>
      <c r="FV15" s="9">
        <v>278015898</v>
      </c>
      <c r="FW15" s="9">
        <v>257309480</v>
      </c>
      <c r="FX15" s="9">
        <v>315617690</v>
      </c>
      <c r="FY15" s="9">
        <v>146110023</v>
      </c>
      <c r="FZ15" s="9">
        <v>126076817</v>
      </c>
      <c r="GA15" s="9">
        <v>310853763</v>
      </c>
      <c r="GB15" s="9">
        <v>324148518</v>
      </c>
      <c r="GC15" s="9">
        <v>1042796082</v>
      </c>
      <c r="GD15" s="9">
        <v>171380172</v>
      </c>
      <c r="GE15" s="9">
        <v>225311362</v>
      </c>
      <c r="GF15" s="9">
        <v>227452868</v>
      </c>
      <c r="GG15" s="9">
        <v>239785189</v>
      </c>
      <c r="GH15" s="9">
        <v>165111555</v>
      </c>
      <c r="GI15" s="9">
        <v>163586631</v>
      </c>
      <c r="GJ15" s="9">
        <v>129255600</v>
      </c>
      <c r="GK15" s="9">
        <v>63376851</v>
      </c>
      <c r="GL15" s="9">
        <v>173332836</v>
      </c>
      <c r="GM15" s="9">
        <v>195387516</v>
      </c>
      <c r="GN15" s="9">
        <v>193270748</v>
      </c>
      <c r="GO15" s="9">
        <v>130009416</v>
      </c>
      <c r="GP15" s="9">
        <v>577524438</v>
      </c>
      <c r="GQ15" s="9">
        <v>537432344</v>
      </c>
      <c r="GR15" s="9">
        <v>367096212</v>
      </c>
      <c r="GS15" s="9">
        <v>300698648</v>
      </c>
      <c r="GT15" s="9">
        <v>829870323</v>
      </c>
      <c r="GU15" s="9">
        <v>940797734</v>
      </c>
      <c r="GV15" s="9">
        <v>312398689</v>
      </c>
      <c r="GW15" s="9">
        <v>371180762</v>
      </c>
      <c r="GX15" s="9">
        <v>713665339</v>
      </c>
      <c r="GY15" s="9">
        <v>973002943</v>
      </c>
      <c r="GZ15" s="9">
        <v>963564849</v>
      </c>
      <c r="HA15" s="9">
        <v>970867065</v>
      </c>
      <c r="HB15" s="9">
        <v>1118381530</v>
      </c>
      <c r="HC15" s="9">
        <v>1644658010</v>
      </c>
      <c r="HD15" s="9">
        <v>2963712632</v>
      </c>
      <c r="HE15" s="9">
        <v>1616816278</v>
      </c>
      <c r="HF15" s="9">
        <v>2187963625</v>
      </c>
      <c r="HG15" s="9">
        <v>1420372613</v>
      </c>
      <c r="HH15" s="9">
        <v>1545066425</v>
      </c>
      <c r="HI15" s="9">
        <v>2347692630</v>
      </c>
      <c r="HJ15" s="9">
        <v>3742823625</v>
      </c>
      <c r="HK15" s="9">
        <v>1490200558</v>
      </c>
      <c r="HL15" s="9">
        <v>1423174666</v>
      </c>
      <c r="HM15" s="9">
        <v>873553034</v>
      </c>
      <c r="HN15" s="16">
        <v>1976601265</v>
      </c>
      <c r="HO15" s="9">
        <v>4364160681</v>
      </c>
      <c r="HP15" s="9">
        <v>1615412185</v>
      </c>
      <c r="HQ15" s="9">
        <v>2258586436</v>
      </c>
      <c r="HR15" s="9">
        <v>3735655729</v>
      </c>
      <c r="HS15" s="9">
        <v>1230253031</v>
      </c>
      <c r="HT15" s="9">
        <v>1181740861</v>
      </c>
      <c r="HU15" s="9">
        <v>651538711</v>
      </c>
      <c r="HV15" s="9">
        <v>969441177</v>
      </c>
      <c r="HW15" s="9">
        <v>978235586</v>
      </c>
      <c r="HX15" s="9">
        <v>629779989</v>
      </c>
      <c r="HY15" s="9">
        <v>529793137</v>
      </c>
      <c r="HZ15" s="9">
        <v>524138141</v>
      </c>
      <c r="IA15" s="9">
        <v>725683110</v>
      </c>
      <c r="IB15" s="9">
        <v>488281137</v>
      </c>
      <c r="IC15" s="9">
        <v>603236493</v>
      </c>
      <c r="ID15" s="9">
        <v>2061722613</v>
      </c>
      <c r="IE15" s="9">
        <v>647731512</v>
      </c>
      <c r="IF15" s="9">
        <v>1048908015</v>
      </c>
      <c r="IG15" s="9">
        <v>484285724</v>
      </c>
      <c r="IH15" s="15">
        <v>784827893</v>
      </c>
      <c r="II15" s="15">
        <v>544304991</v>
      </c>
      <c r="IJ15" s="15">
        <v>625016632</v>
      </c>
      <c r="IK15" s="9">
        <v>815544118</v>
      </c>
      <c r="IL15" s="9">
        <v>919851475</v>
      </c>
      <c r="IM15" s="9">
        <v>518168104</v>
      </c>
      <c r="IN15" s="9">
        <v>472288232</v>
      </c>
      <c r="IO15" s="9">
        <v>612914410</v>
      </c>
      <c r="IP15" s="9">
        <v>835374163</v>
      </c>
      <c r="IQ15" s="9">
        <v>1160887506</v>
      </c>
      <c r="IR15" s="9">
        <v>1004593055</v>
      </c>
      <c r="IS15" s="9">
        <v>760423243</v>
      </c>
      <c r="IT15" s="9">
        <v>1397631813</v>
      </c>
      <c r="IU15" s="9">
        <v>869477709</v>
      </c>
      <c r="IV15" s="9">
        <v>422858098</v>
      </c>
      <c r="IW15" s="9">
        <v>614853604</v>
      </c>
      <c r="IX15" s="9">
        <v>1338508821</v>
      </c>
      <c r="IY15" s="9">
        <v>1105794476</v>
      </c>
      <c r="IZ15" s="9">
        <v>1911800728</v>
      </c>
      <c r="JA15" s="14">
        <v>2349049424</v>
      </c>
      <c r="JB15" s="9">
        <v>1995990695</v>
      </c>
      <c r="JC15" s="9">
        <v>1819608641</v>
      </c>
      <c r="JD15" s="9">
        <v>1984135113</v>
      </c>
      <c r="JE15" s="9">
        <v>911815087</v>
      </c>
      <c r="JF15" s="9">
        <v>994349572</v>
      </c>
      <c r="JG15" s="9">
        <v>931690407</v>
      </c>
      <c r="JH15" s="9">
        <v>652305812</v>
      </c>
      <c r="JI15" s="9">
        <v>631628339</v>
      </c>
      <c r="JJ15" s="9">
        <v>804425805</v>
      </c>
      <c r="JK15" s="9">
        <v>697916408</v>
      </c>
      <c r="JL15" s="9">
        <v>813352834</v>
      </c>
      <c r="JM15" s="9">
        <v>1360549617</v>
      </c>
      <c r="JN15" s="9">
        <v>502446644</v>
      </c>
      <c r="JO15" s="9">
        <v>651212823</v>
      </c>
      <c r="JP15" s="9">
        <v>492052901</v>
      </c>
      <c r="JQ15" s="9">
        <v>882729886</v>
      </c>
      <c r="JR15" s="9">
        <v>591697848</v>
      </c>
      <c r="JS15" s="9">
        <v>687063810</v>
      </c>
      <c r="JT15" s="9">
        <v>839324386</v>
      </c>
      <c r="JU15" s="9">
        <v>598560027</v>
      </c>
      <c r="JV15" s="9">
        <v>534183555</v>
      </c>
      <c r="JW15" s="52">
        <v>483733728</v>
      </c>
      <c r="JX15" s="59">
        <v>838242324</v>
      </c>
      <c r="JY15" s="59">
        <v>714414934</v>
      </c>
      <c r="JZ15" s="59">
        <v>733035382</v>
      </c>
      <c r="KA15" s="59">
        <v>478898750</v>
      </c>
      <c r="KB15" s="59">
        <v>296688758</v>
      </c>
      <c r="KC15" s="59">
        <v>399961943</v>
      </c>
      <c r="KD15" s="59">
        <v>669550669</v>
      </c>
      <c r="KE15" s="59">
        <v>430839433</v>
      </c>
      <c r="KF15" s="59">
        <v>668695966</v>
      </c>
      <c r="KG15" s="59">
        <v>997868058</v>
      </c>
      <c r="KH15" s="59">
        <v>800584789</v>
      </c>
      <c r="KI15" s="59">
        <v>835255807</v>
      </c>
      <c r="KJ15" s="59">
        <v>769848427</v>
      </c>
      <c r="KK15" s="59">
        <v>774794475</v>
      </c>
      <c r="KL15" s="87">
        <v>850230994</v>
      </c>
      <c r="KM15" s="96">
        <v>752360688</v>
      </c>
      <c r="KN15" s="96">
        <v>584320361</v>
      </c>
      <c r="KO15" s="96">
        <v>333923944</v>
      </c>
      <c r="KP15" s="96">
        <v>427188620</v>
      </c>
      <c r="KQ15" s="96">
        <v>721889360</v>
      </c>
      <c r="KR15" s="96">
        <v>873167172</v>
      </c>
      <c r="KS15" s="96">
        <v>407356711</v>
      </c>
      <c r="KT15" s="96">
        <v>605193001</v>
      </c>
      <c r="KU15" s="96">
        <v>338387154</v>
      </c>
      <c r="KV15" s="96">
        <v>430202901</v>
      </c>
      <c r="KW15" s="96">
        <v>349869064</v>
      </c>
      <c r="KX15" s="96">
        <v>336522846</v>
      </c>
      <c r="KY15" s="96">
        <v>433711283</v>
      </c>
      <c r="KZ15" s="96">
        <v>714732353</v>
      </c>
      <c r="LA15" s="105">
        <v>362516841</v>
      </c>
      <c r="LB15" s="96">
        <v>328378096</v>
      </c>
      <c r="LC15" s="96">
        <v>350405534</v>
      </c>
      <c r="LD15" s="96">
        <v>267910499</v>
      </c>
      <c r="LE15" s="96">
        <v>230327492</v>
      </c>
      <c r="LF15" s="96">
        <v>420179314</v>
      </c>
      <c r="LG15" s="96">
        <v>648751496</v>
      </c>
      <c r="LH15" s="96">
        <v>3351149390</v>
      </c>
      <c r="LI15" s="96">
        <v>697289492</v>
      </c>
      <c r="LJ15" s="96">
        <v>1002774114</v>
      </c>
      <c r="LK15" s="96">
        <v>957495147</v>
      </c>
      <c r="LL15" s="96">
        <v>1025343878</v>
      </c>
      <c r="LM15" s="96">
        <v>575011551</v>
      </c>
      <c r="LN15" s="96">
        <v>746165616</v>
      </c>
      <c r="LO15" s="96">
        <v>287743951</v>
      </c>
      <c r="LP15" s="96">
        <v>312790721</v>
      </c>
      <c r="LQ15" s="218"/>
      <c r="LR15" s="96">
        <v>878186767</v>
      </c>
      <c r="LS15" s="96">
        <v>1091331900</v>
      </c>
      <c r="LT15" s="111">
        <v>1126640466</v>
      </c>
      <c r="LU15" s="2">
        <v>1601334066</v>
      </c>
      <c r="LV15" s="120">
        <v>3442643309</v>
      </c>
      <c r="LW15" s="96">
        <v>3884782143</v>
      </c>
      <c r="LX15" s="96">
        <v>2333664737</v>
      </c>
      <c r="LY15" s="96">
        <v>5643444979</v>
      </c>
      <c r="LZ15" s="131">
        <v>10216515699</v>
      </c>
      <c r="MA15" s="131">
        <v>5348966628</v>
      </c>
      <c r="MB15" s="131">
        <v>2085939291</v>
      </c>
      <c r="MC15" s="96">
        <v>2129973259</v>
      </c>
      <c r="MD15" s="96">
        <v>2285237152</v>
      </c>
      <c r="ME15" s="96">
        <v>1812491877</v>
      </c>
      <c r="MF15" s="96">
        <v>3149756597</v>
      </c>
      <c r="MG15" s="96">
        <v>6191641412</v>
      </c>
      <c r="MH15" s="96">
        <v>6428200070</v>
      </c>
      <c r="MI15" s="96">
        <v>3794973940</v>
      </c>
      <c r="MJ15" s="96">
        <v>6393891243</v>
      </c>
      <c r="MK15" s="96">
        <v>9934101370</v>
      </c>
      <c r="ML15" s="2">
        <v>7045262943</v>
      </c>
      <c r="MM15" s="96">
        <v>3248893381</v>
      </c>
      <c r="MN15" s="140">
        <v>2405224841</v>
      </c>
      <c r="MO15" s="96">
        <v>914116528</v>
      </c>
      <c r="MP15" s="96">
        <v>1946122875</v>
      </c>
      <c r="MQ15" s="96">
        <v>1193665278</v>
      </c>
      <c r="MR15" s="151">
        <v>1133300459</v>
      </c>
      <c r="MS15" s="152">
        <v>2797241880</v>
      </c>
      <c r="MT15" s="152">
        <v>3594930060</v>
      </c>
      <c r="MU15" s="152">
        <v>1553359104</v>
      </c>
      <c r="MV15" s="152">
        <v>1285414687</v>
      </c>
      <c r="MW15" s="153">
        <v>1930286206</v>
      </c>
      <c r="MX15" s="96">
        <v>1986189894</v>
      </c>
      <c r="MY15" s="96">
        <v>2120690903</v>
      </c>
      <c r="MZ15" s="96">
        <v>1398392054</v>
      </c>
      <c r="NA15" s="96">
        <v>772923542</v>
      </c>
      <c r="NB15" s="96">
        <v>786691387</v>
      </c>
      <c r="NC15" s="105">
        <v>1263675141</v>
      </c>
      <c r="ND15" s="96">
        <v>2825467412</v>
      </c>
      <c r="NE15" s="96">
        <v>2160953482</v>
      </c>
      <c r="NF15" s="96">
        <v>970460937</v>
      </c>
      <c r="NG15" s="2">
        <v>921063530</v>
      </c>
      <c r="NH15" s="178">
        <v>715649569</v>
      </c>
      <c r="NI15" s="2">
        <v>1066669539</v>
      </c>
      <c r="NJ15" s="96">
        <v>627538779</v>
      </c>
      <c r="NK15" s="96">
        <v>863547379</v>
      </c>
      <c r="NL15" s="96">
        <v>2217047167</v>
      </c>
      <c r="NM15" s="151">
        <v>2469852706</v>
      </c>
      <c r="NN15" s="152">
        <v>2018574383</v>
      </c>
      <c r="NO15" s="186">
        <v>1057342645</v>
      </c>
      <c r="NP15" s="152">
        <v>937938008</v>
      </c>
      <c r="NQ15" s="152">
        <v>626988502</v>
      </c>
      <c r="NR15" s="186">
        <v>1302754144</v>
      </c>
      <c r="NS15" s="152">
        <v>2091216730</v>
      </c>
      <c r="NT15" s="152">
        <v>2681732353</v>
      </c>
      <c r="NU15" s="153">
        <v>6355161272</v>
      </c>
      <c r="NV15" s="2">
        <v>5883566722</v>
      </c>
      <c r="NW15" s="2">
        <v>2004212343</v>
      </c>
      <c r="NX15" s="2">
        <v>1481363137</v>
      </c>
      <c r="NY15" s="2">
        <v>1863653053</v>
      </c>
      <c r="NZ15" s="2">
        <v>2898334661</v>
      </c>
      <c r="OA15" s="2">
        <v>4472882851</v>
      </c>
      <c r="OB15" s="2">
        <v>5942149181</v>
      </c>
      <c r="OC15" s="2">
        <v>4778985811</v>
      </c>
      <c r="OD15" s="2">
        <v>5169330485</v>
      </c>
      <c r="OE15" s="2">
        <v>6670584189</v>
      </c>
      <c r="OF15" s="2">
        <v>3016117404</v>
      </c>
      <c r="OG15" s="140">
        <v>2465153312</v>
      </c>
    </row>
    <row r="16" spans="1:397" s="2" customFormat="1" ht="15" customHeight="1" x14ac:dyDescent="0.25">
      <c r="A16" s="26" t="s">
        <v>10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29961130</v>
      </c>
      <c r="Q16" s="9">
        <v>15025878</v>
      </c>
      <c r="R16" s="9">
        <v>12963776</v>
      </c>
      <c r="S16" s="9">
        <v>15932572</v>
      </c>
      <c r="T16" s="9">
        <v>12729116</v>
      </c>
      <c r="U16" s="9">
        <v>19154409</v>
      </c>
      <c r="V16" s="9">
        <v>36224346</v>
      </c>
      <c r="W16" s="9">
        <v>15228568</v>
      </c>
      <c r="X16" s="9">
        <v>14901054</v>
      </c>
      <c r="Y16" s="9">
        <v>15342806</v>
      </c>
      <c r="Z16" s="9">
        <v>11724950</v>
      </c>
      <c r="AA16" s="9">
        <v>12333320</v>
      </c>
      <c r="AB16" s="9">
        <v>15051092</v>
      </c>
      <c r="AC16" s="9">
        <v>7745717</v>
      </c>
      <c r="AD16" s="9">
        <v>14185263</v>
      </c>
      <c r="AE16" s="9">
        <v>11228211</v>
      </c>
      <c r="AF16" s="9">
        <v>12478547</v>
      </c>
      <c r="AG16" s="9">
        <v>12838704</v>
      </c>
      <c r="AH16" s="9">
        <v>12345052</v>
      </c>
      <c r="AI16" s="9">
        <v>11131458</v>
      </c>
      <c r="AJ16" s="9">
        <v>13297523</v>
      </c>
      <c r="AK16" s="9">
        <v>19308167</v>
      </c>
      <c r="AL16" s="9">
        <v>11990629</v>
      </c>
      <c r="AM16" s="9">
        <v>8650170</v>
      </c>
      <c r="AN16" s="9">
        <v>13613428</v>
      </c>
      <c r="AO16" s="9">
        <v>7844958</v>
      </c>
      <c r="AP16" s="9">
        <v>6420428</v>
      </c>
      <c r="AQ16" s="9">
        <v>6629519</v>
      </c>
      <c r="AR16" s="9">
        <v>7240655</v>
      </c>
      <c r="AS16" s="9">
        <v>8256611</v>
      </c>
      <c r="AT16" s="9">
        <v>8165403</v>
      </c>
      <c r="AU16" s="9">
        <v>19578553</v>
      </c>
      <c r="AV16" s="9">
        <v>17948622</v>
      </c>
      <c r="AW16" s="9">
        <v>15970437</v>
      </c>
      <c r="AX16" s="9">
        <v>17720824</v>
      </c>
      <c r="AY16" s="9">
        <v>9101971</v>
      </c>
      <c r="AZ16" s="9">
        <v>22549739</v>
      </c>
      <c r="BA16" s="9">
        <v>37034495</v>
      </c>
      <c r="BB16" s="9">
        <v>36094734</v>
      </c>
      <c r="BC16" s="9">
        <v>28718850</v>
      </c>
      <c r="BD16" s="9">
        <v>43015319</v>
      </c>
      <c r="BE16" s="9">
        <v>45698244</v>
      </c>
      <c r="BF16" s="9">
        <v>30752373</v>
      </c>
      <c r="BG16" s="9">
        <v>25805275</v>
      </c>
      <c r="BH16" s="9">
        <v>22394109</v>
      </c>
      <c r="BI16" s="9">
        <v>18883965</v>
      </c>
      <c r="BJ16" s="9">
        <v>25864454</v>
      </c>
      <c r="BK16" s="9">
        <v>30897991</v>
      </c>
      <c r="BL16" s="9">
        <v>28392146</v>
      </c>
      <c r="BM16" s="9">
        <v>40096640</v>
      </c>
      <c r="BN16" s="9">
        <v>50263714</v>
      </c>
      <c r="BO16" s="9">
        <v>39856348</v>
      </c>
      <c r="BP16" s="9">
        <v>32517483</v>
      </c>
      <c r="BQ16" s="9">
        <v>30752373</v>
      </c>
      <c r="BR16" s="9">
        <v>30567934</v>
      </c>
      <c r="BS16" s="9">
        <v>32051189</v>
      </c>
      <c r="BT16" s="9">
        <v>58149844</v>
      </c>
      <c r="BU16" s="9">
        <v>25969723</v>
      </c>
      <c r="BV16" s="9">
        <v>23953921</v>
      </c>
      <c r="BW16" s="9">
        <v>25755644</v>
      </c>
      <c r="BX16" s="9">
        <v>16831186</v>
      </c>
      <c r="BY16" s="9">
        <v>9789280</v>
      </c>
      <c r="BZ16" s="9">
        <v>52772472</v>
      </c>
      <c r="CA16" s="9">
        <v>17436681</v>
      </c>
      <c r="CB16" s="9">
        <v>38793389</v>
      </c>
      <c r="CC16" s="9">
        <v>41872208</v>
      </c>
      <c r="CD16" s="9">
        <v>36588157</v>
      </c>
      <c r="CE16" s="9">
        <v>30070322</v>
      </c>
      <c r="CF16" s="9">
        <v>29724284</v>
      </c>
      <c r="CG16" s="9">
        <v>33374569</v>
      </c>
      <c r="CH16" s="9">
        <v>17244079</v>
      </c>
      <c r="CI16" s="9">
        <v>36974604</v>
      </c>
      <c r="CJ16" s="9">
        <v>34821692</v>
      </c>
      <c r="CK16" s="9">
        <v>19911408</v>
      </c>
      <c r="CL16" s="9">
        <v>34705266</v>
      </c>
      <c r="CM16" s="9">
        <v>35036446</v>
      </c>
      <c r="CN16" s="9">
        <v>57398413</v>
      </c>
      <c r="CO16" s="9">
        <v>26852863</v>
      </c>
      <c r="CP16" s="9">
        <v>29699392</v>
      </c>
      <c r="CQ16" s="9">
        <v>21402919</v>
      </c>
      <c r="CR16" s="9">
        <v>19543417</v>
      </c>
      <c r="CS16" s="9">
        <v>16308658</v>
      </c>
      <c r="CT16" s="9">
        <v>21512847</v>
      </c>
      <c r="CU16" s="9">
        <v>12157670</v>
      </c>
      <c r="CV16" s="9">
        <v>16875458</v>
      </c>
      <c r="CW16" s="9">
        <v>15521976</v>
      </c>
      <c r="CX16" s="9">
        <v>17327180</v>
      </c>
      <c r="CY16" s="9">
        <v>32756533</v>
      </c>
      <c r="CZ16" s="9">
        <v>16230797</v>
      </c>
      <c r="DA16" s="9">
        <v>71171663</v>
      </c>
      <c r="DB16" s="9">
        <v>26048556</v>
      </c>
      <c r="DC16" s="9">
        <v>92804490</v>
      </c>
      <c r="DD16" s="9">
        <v>106746518</v>
      </c>
      <c r="DE16" s="9">
        <v>177517354</v>
      </c>
      <c r="DF16" s="9">
        <v>63145442</v>
      </c>
      <c r="DG16" s="9">
        <v>67828589</v>
      </c>
      <c r="DH16" s="9">
        <v>102474268</v>
      </c>
      <c r="DI16" s="9">
        <v>34526595</v>
      </c>
      <c r="DJ16" s="9">
        <v>75843327</v>
      </c>
      <c r="DK16" s="9">
        <v>121245741</v>
      </c>
      <c r="DL16" s="9">
        <v>73078573</v>
      </c>
      <c r="DM16" s="9">
        <v>59743059</v>
      </c>
      <c r="DN16" s="9">
        <v>217446267</v>
      </c>
      <c r="DO16" s="9">
        <v>135639215</v>
      </c>
      <c r="DP16" s="9">
        <v>44745387</v>
      </c>
      <c r="DQ16" s="9">
        <v>39249193</v>
      </c>
      <c r="DR16" s="9">
        <v>58396794</v>
      </c>
      <c r="DS16" s="9">
        <v>43203099</v>
      </c>
      <c r="DT16" s="9">
        <v>31277657</v>
      </c>
      <c r="DU16" s="9">
        <v>79950634</v>
      </c>
      <c r="DV16" s="9">
        <v>73115191</v>
      </c>
      <c r="DW16" s="9">
        <v>236971935</v>
      </c>
      <c r="DX16" s="9">
        <v>103124602</v>
      </c>
      <c r="DY16" s="9">
        <v>111493591</v>
      </c>
      <c r="DZ16" s="9">
        <v>381349890</v>
      </c>
      <c r="EA16" s="9">
        <v>448890427</v>
      </c>
      <c r="EB16" s="9">
        <v>244747782</v>
      </c>
      <c r="EC16" s="9">
        <v>119926231</v>
      </c>
      <c r="ED16" s="9">
        <v>120790628</v>
      </c>
      <c r="EE16" s="9">
        <v>90911868</v>
      </c>
      <c r="EF16" s="9">
        <v>98167822</v>
      </c>
      <c r="EG16" s="9">
        <v>110904545</v>
      </c>
      <c r="EH16" s="9">
        <v>202167212</v>
      </c>
      <c r="EI16" s="9">
        <v>243607045</v>
      </c>
      <c r="EJ16" s="9">
        <v>446071001</v>
      </c>
      <c r="EK16" s="9">
        <v>405417536</v>
      </c>
      <c r="EL16" s="9">
        <v>243289152</v>
      </c>
      <c r="EM16" s="9">
        <v>249517836</v>
      </c>
      <c r="EN16" s="9">
        <v>133892190</v>
      </c>
      <c r="EO16" s="9">
        <v>134745268</v>
      </c>
      <c r="EP16" s="9">
        <v>199815799</v>
      </c>
      <c r="EQ16" s="9">
        <v>490497915</v>
      </c>
      <c r="ER16" s="9">
        <v>867127741</v>
      </c>
      <c r="ES16" s="9">
        <v>264408400</v>
      </c>
      <c r="ET16" s="9">
        <v>396166128</v>
      </c>
      <c r="EU16" s="9">
        <v>157944515</v>
      </c>
      <c r="EV16" s="9">
        <v>255410464</v>
      </c>
      <c r="EW16" s="9">
        <v>531789423</v>
      </c>
      <c r="EX16" s="9">
        <v>330825015</v>
      </c>
      <c r="EY16" s="9">
        <v>304010268</v>
      </c>
      <c r="EZ16" s="9">
        <v>330314186</v>
      </c>
      <c r="FA16" s="9">
        <v>184905069</v>
      </c>
      <c r="FB16" s="9">
        <v>199922982</v>
      </c>
      <c r="FC16" s="9">
        <v>175185213</v>
      </c>
      <c r="FD16" s="9">
        <v>282692191</v>
      </c>
      <c r="FE16" s="9">
        <v>202745801</v>
      </c>
      <c r="FF16" s="9">
        <v>127983024</v>
      </c>
      <c r="FG16" s="9">
        <v>253359544</v>
      </c>
      <c r="FH16" s="14">
        <v>571152997</v>
      </c>
      <c r="FI16" s="14">
        <v>231133206</v>
      </c>
      <c r="FJ16" s="14">
        <v>302492944</v>
      </c>
      <c r="FK16" s="9">
        <v>264391042</v>
      </c>
      <c r="FL16" s="9">
        <v>449423208</v>
      </c>
      <c r="FM16" s="14">
        <v>117698547</v>
      </c>
      <c r="FN16" s="9">
        <v>295424887</v>
      </c>
      <c r="FO16" s="9">
        <v>275640180</v>
      </c>
      <c r="FP16" s="9">
        <v>199676152</v>
      </c>
      <c r="FQ16" s="9">
        <v>56696055</v>
      </c>
      <c r="FR16" s="9">
        <v>108401929</v>
      </c>
      <c r="FS16" s="9">
        <v>116132005</v>
      </c>
      <c r="FT16" s="9">
        <v>78021305</v>
      </c>
      <c r="FU16" s="9">
        <v>182701224</v>
      </c>
      <c r="FV16" s="9">
        <v>191326397</v>
      </c>
      <c r="FW16" s="9">
        <v>188974914</v>
      </c>
      <c r="FX16" s="9">
        <v>229584519</v>
      </c>
      <c r="FY16" s="9">
        <v>117993080</v>
      </c>
      <c r="FZ16" s="9">
        <v>95480647</v>
      </c>
      <c r="GA16" s="9">
        <v>219524965</v>
      </c>
      <c r="GB16" s="9">
        <v>243170939</v>
      </c>
      <c r="GC16" s="9">
        <v>231452754</v>
      </c>
      <c r="GD16" s="9">
        <v>152958914</v>
      </c>
      <c r="GE16" s="9">
        <v>209160308</v>
      </c>
      <c r="GF16" s="9">
        <v>185513290</v>
      </c>
      <c r="GG16" s="9">
        <v>186711356</v>
      </c>
      <c r="GH16" s="9">
        <v>144414181</v>
      </c>
      <c r="GI16" s="9">
        <v>136717202</v>
      </c>
      <c r="GJ16" s="9">
        <v>107139759</v>
      </c>
      <c r="GK16" s="9">
        <v>53404384</v>
      </c>
      <c r="GL16" s="9">
        <v>149226684</v>
      </c>
      <c r="GM16" s="9">
        <v>91204342</v>
      </c>
      <c r="GN16" s="9">
        <v>138342029</v>
      </c>
      <c r="GO16" s="9">
        <v>102821849</v>
      </c>
      <c r="GP16" s="9">
        <v>315605294</v>
      </c>
      <c r="GQ16" s="9">
        <v>450136457</v>
      </c>
      <c r="GR16" s="9">
        <v>268861578</v>
      </c>
      <c r="GS16" s="9">
        <v>259587518</v>
      </c>
      <c r="GT16" s="9">
        <v>744138978</v>
      </c>
      <c r="GU16" s="9">
        <v>865946496</v>
      </c>
      <c r="GV16" s="9">
        <v>264742976</v>
      </c>
      <c r="GW16" s="9">
        <v>287334638</v>
      </c>
      <c r="GX16" s="9">
        <v>601233910</v>
      </c>
      <c r="GY16" s="9">
        <v>820232155</v>
      </c>
      <c r="GZ16" s="9">
        <v>818749916</v>
      </c>
      <c r="HA16" s="9">
        <v>842330479</v>
      </c>
      <c r="HB16" s="9">
        <v>991053709</v>
      </c>
      <c r="HC16" s="9">
        <v>1424048944</v>
      </c>
      <c r="HD16" s="9">
        <v>2800922751</v>
      </c>
      <c r="HE16" s="9">
        <v>1459988507</v>
      </c>
      <c r="HF16" s="9">
        <v>1998200206</v>
      </c>
      <c r="HG16" s="9">
        <v>1304399569</v>
      </c>
      <c r="HH16" s="9">
        <v>1450980954</v>
      </c>
      <c r="HI16" s="9">
        <v>2160596723</v>
      </c>
      <c r="HJ16" s="9">
        <v>3581359544</v>
      </c>
      <c r="HK16" s="9">
        <v>1398112537</v>
      </c>
      <c r="HL16" s="9">
        <v>1276544480</v>
      </c>
      <c r="HM16" s="9">
        <v>814336589</v>
      </c>
      <c r="HN16" s="9">
        <v>1868994099</v>
      </c>
      <c r="HO16" s="9">
        <v>4146887656</v>
      </c>
      <c r="HP16" s="9">
        <v>1530198051</v>
      </c>
      <c r="HQ16" s="9">
        <v>2163305105</v>
      </c>
      <c r="HR16" s="9">
        <v>3577413059</v>
      </c>
      <c r="HS16" s="9">
        <v>1112277729</v>
      </c>
      <c r="HT16" s="9">
        <v>1107774167</v>
      </c>
      <c r="HU16" s="9">
        <v>574381237</v>
      </c>
      <c r="HV16" s="9">
        <v>904302950</v>
      </c>
      <c r="HW16" s="9">
        <v>899407182</v>
      </c>
      <c r="HX16" s="9">
        <v>546890387</v>
      </c>
      <c r="HY16" s="9">
        <v>488517538</v>
      </c>
      <c r="HZ16" s="9">
        <v>482776192</v>
      </c>
      <c r="IA16" s="9">
        <v>668492371</v>
      </c>
      <c r="IB16" s="9">
        <v>407057693</v>
      </c>
      <c r="IC16" s="9">
        <v>561948026</v>
      </c>
      <c r="ID16" s="9">
        <v>1911143827</v>
      </c>
      <c r="IE16" s="9">
        <v>446555127</v>
      </c>
      <c r="IF16" s="9">
        <v>677799717</v>
      </c>
      <c r="IG16" s="9">
        <v>294646816</v>
      </c>
      <c r="IH16" s="15">
        <v>633986433</v>
      </c>
      <c r="II16" s="15">
        <v>369576838</v>
      </c>
      <c r="IJ16" s="15">
        <v>556591277</v>
      </c>
      <c r="IK16" s="9">
        <v>653037591</v>
      </c>
      <c r="IL16" s="9">
        <v>826256838</v>
      </c>
      <c r="IM16" s="9">
        <v>457886211</v>
      </c>
      <c r="IN16" s="9">
        <v>412812216</v>
      </c>
      <c r="IO16" s="9">
        <v>540367071</v>
      </c>
      <c r="IP16" s="9">
        <v>770065620</v>
      </c>
      <c r="IQ16" s="9">
        <v>1041317217</v>
      </c>
      <c r="IR16" s="9">
        <v>910174438</v>
      </c>
      <c r="IS16" s="9">
        <v>689451066</v>
      </c>
      <c r="IT16" s="9">
        <v>1278921413</v>
      </c>
      <c r="IU16" s="9">
        <v>749812027</v>
      </c>
      <c r="IV16" s="9">
        <v>349653052</v>
      </c>
      <c r="IW16" s="9">
        <v>552545086</v>
      </c>
      <c r="IX16" s="9">
        <v>946320289</v>
      </c>
      <c r="IY16" s="9">
        <v>1015761658</v>
      </c>
      <c r="IZ16" s="9">
        <v>1801797264</v>
      </c>
      <c r="JA16" s="14">
        <v>2137920713</v>
      </c>
      <c r="JB16" s="9">
        <v>1809302918</v>
      </c>
      <c r="JC16" s="9">
        <v>1515155690</v>
      </c>
      <c r="JD16" s="9">
        <v>1740594716</v>
      </c>
      <c r="JE16" s="9">
        <v>828333929</v>
      </c>
      <c r="JF16" s="9">
        <v>894119329</v>
      </c>
      <c r="JG16" s="9">
        <v>805143753</v>
      </c>
      <c r="JH16" s="9">
        <v>568133745</v>
      </c>
      <c r="JI16" s="9">
        <v>524577782</v>
      </c>
      <c r="JJ16" s="9">
        <v>716480670</v>
      </c>
      <c r="JK16" s="9">
        <v>593214392</v>
      </c>
      <c r="JL16" s="9">
        <v>596289256</v>
      </c>
      <c r="JM16" s="9">
        <v>1193785854</v>
      </c>
      <c r="JN16" s="9">
        <v>428858886</v>
      </c>
      <c r="JO16" s="9">
        <v>518530766</v>
      </c>
      <c r="JP16" s="9">
        <v>388953649</v>
      </c>
      <c r="JQ16" s="9">
        <v>465069722</v>
      </c>
      <c r="JR16" s="9">
        <v>440227713</v>
      </c>
      <c r="JS16" s="9">
        <v>462558123</v>
      </c>
      <c r="JT16" s="9">
        <v>726817246</v>
      </c>
      <c r="JU16" s="9">
        <v>515126238</v>
      </c>
      <c r="JV16" s="9">
        <v>410343392</v>
      </c>
      <c r="JW16" s="52">
        <v>415667306</v>
      </c>
      <c r="JX16" s="59">
        <v>711835721</v>
      </c>
      <c r="JY16" s="59">
        <v>583084493</v>
      </c>
      <c r="JZ16" s="59">
        <v>640612898</v>
      </c>
      <c r="KA16" s="59">
        <v>422538718</v>
      </c>
      <c r="KB16" s="59">
        <v>259099388</v>
      </c>
      <c r="KC16" s="59">
        <v>188187713</v>
      </c>
      <c r="KD16" s="59">
        <v>269122269</v>
      </c>
      <c r="KE16" s="59">
        <v>296565009</v>
      </c>
      <c r="KF16" s="59">
        <v>495771514</v>
      </c>
      <c r="KG16" s="59">
        <v>833688685</v>
      </c>
      <c r="KH16" s="59">
        <v>702015986</v>
      </c>
      <c r="KI16" s="59">
        <v>701574038</v>
      </c>
      <c r="KJ16" s="59">
        <v>653560524</v>
      </c>
      <c r="KK16" s="59">
        <v>697196717</v>
      </c>
      <c r="KL16" s="87">
        <v>636931049</v>
      </c>
      <c r="KM16" s="96">
        <v>611954807</v>
      </c>
      <c r="KN16" s="96">
        <v>362583533</v>
      </c>
      <c r="KO16" s="96">
        <v>267410827</v>
      </c>
      <c r="KP16" s="96">
        <v>360564024</v>
      </c>
      <c r="KQ16" s="96">
        <v>613647906</v>
      </c>
      <c r="KR16" s="96">
        <v>697579010</v>
      </c>
      <c r="KS16" s="96">
        <v>332863605</v>
      </c>
      <c r="KT16" s="96">
        <v>466228053</v>
      </c>
      <c r="KU16" s="96">
        <v>243365450</v>
      </c>
      <c r="KV16" s="96">
        <v>381065746</v>
      </c>
      <c r="KW16" s="96">
        <v>283059668</v>
      </c>
      <c r="KX16" s="96">
        <v>274716578</v>
      </c>
      <c r="KY16" s="96">
        <v>310249247</v>
      </c>
      <c r="KZ16" s="96">
        <v>638002630</v>
      </c>
      <c r="LA16" s="105">
        <v>219481245</v>
      </c>
      <c r="LB16" s="96">
        <v>268085261</v>
      </c>
      <c r="LC16" s="96">
        <v>242045128</v>
      </c>
      <c r="LD16" s="96">
        <v>185997649</v>
      </c>
      <c r="LE16" s="96">
        <v>143580476</v>
      </c>
      <c r="LF16" s="96">
        <v>359427431</v>
      </c>
      <c r="LG16" s="96">
        <v>604942655</v>
      </c>
      <c r="LH16" s="96">
        <v>1927941668</v>
      </c>
      <c r="LI16" s="96">
        <v>608909560</v>
      </c>
      <c r="LJ16" s="96">
        <v>654565074</v>
      </c>
      <c r="LK16" s="96">
        <v>702728239</v>
      </c>
      <c r="LL16" s="96">
        <v>874340670</v>
      </c>
      <c r="LM16" s="96">
        <v>518790872</v>
      </c>
      <c r="LN16" s="96">
        <v>491683361</v>
      </c>
      <c r="LO16" s="96">
        <v>246298425</v>
      </c>
      <c r="LP16" s="96">
        <v>264388800</v>
      </c>
      <c r="LQ16" s="218"/>
      <c r="LR16" s="96">
        <v>702330278</v>
      </c>
      <c r="LS16" s="96">
        <v>807853727</v>
      </c>
      <c r="LT16" s="111">
        <v>971282459</v>
      </c>
      <c r="LU16" s="2">
        <v>1498436564</v>
      </c>
      <c r="LV16" s="120">
        <v>3240780155</v>
      </c>
      <c r="LW16" s="96">
        <v>3785267107</v>
      </c>
      <c r="LX16" s="96">
        <v>2271065445</v>
      </c>
      <c r="LY16" s="96">
        <v>5527881184</v>
      </c>
      <c r="LZ16" s="131">
        <v>10047654543</v>
      </c>
      <c r="MA16" s="131">
        <v>5281681705</v>
      </c>
      <c r="MB16" s="131">
        <v>1463731588</v>
      </c>
      <c r="MC16" s="96">
        <v>2046090148</v>
      </c>
      <c r="MD16" s="96">
        <v>2122556006</v>
      </c>
      <c r="ME16" s="96">
        <v>1739911888</v>
      </c>
      <c r="MF16" s="96">
        <v>2958674851</v>
      </c>
      <c r="MG16" s="96">
        <v>6094752833</v>
      </c>
      <c r="MH16" s="96">
        <v>6323383919</v>
      </c>
      <c r="MI16" s="96">
        <v>3739463615</v>
      </c>
      <c r="MJ16" s="96">
        <v>6282788363</v>
      </c>
      <c r="MK16" s="96">
        <v>9804509673</v>
      </c>
      <c r="ML16" s="2">
        <v>6771603411</v>
      </c>
      <c r="MM16" s="96">
        <v>3194711220</v>
      </c>
      <c r="MN16" s="140">
        <v>2347856574</v>
      </c>
      <c r="MO16" s="96">
        <v>896721922</v>
      </c>
      <c r="MP16" s="96">
        <v>1910277550</v>
      </c>
      <c r="MQ16" s="96">
        <v>1151042598</v>
      </c>
      <c r="MR16" s="151">
        <v>1094237060</v>
      </c>
      <c r="MS16" s="152">
        <v>2703120344</v>
      </c>
      <c r="MT16" s="152">
        <v>3484802239</v>
      </c>
      <c r="MU16" s="152">
        <v>1518773678</v>
      </c>
      <c r="MV16" s="152">
        <v>1219183118</v>
      </c>
      <c r="MW16" s="153">
        <v>1930286206</v>
      </c>
      <c r="MX16" s="96">
        <v>1942427353</v>
      </c>
      <c r="MY16" s="96">
        <v>1774477930</v>
      </c>
      <c r="MZ16" s="96">
        <v>1325572982</v>
      </c>
      <c r="NA16" s="96">
        <v>705289991</v>
      </c>
      <c r="NB16" s="96">
        <v>750642691</v>
      </c>
      <c r="NC16" s="105">
        <v>1216782315</v>
      </c>
      <c r="ND16" s="96">
        <v>2708960331</v>
      </c>
      <c r="NE16" s="96">
        <v>2022911933</v>
      </c>
      <c r="NF16" s="96">
        <v>919090642</v>
      </c>
      <c r="NG16" s="2">
        <v>860848483</v>
      </c>
      <c r="NH16" s="178">
        <v>651175050</v>
      </c>
      <c r="NI16" s="2">
        <v>1011265185</v>
      </c>
      <c r="NJ16" s="96">
        <v>564046949</v>
      </c>
      <c r="NK16" s="96">
        <v>720751736</v>
      </c>
      <c r="NL16" s="96">
        <v>1816159442</v>
      </c>
      <c r="NM16" s="151">
        <v>2295348404</v>
      </c>
      <c r="NN16" s="152">
        <v>1886059396</v>
      </c>
      <c r="NO16" s="186">
        <v>963406812</v>
      </c>
      <c r="NP16" s="152">
        <v>713322693</v>
      </c>
      <c r="NQ16" s="152">
        <v>597827687</v>
      </c>
      <c r="NR16" s="186">
        <v>1224493908</v>
      </c>
      <c r="NS16" s="152">
        <v>2003536488</v>
      </c>
      <c r="NT16" s="152">
        <v>2556411860</v>
      </c>
      <c r="NU16" s="153">
        <v>6036774293</v>
      </c>
      <c r="NV16" s="2">
        <v>5609178322</v>
      </c>
      <c r="NW16" s="2">
        <v>1854507381</v>
      </c>
      <c r="NX16" s="2">
        <v>1402935355</v>
      </c>
      <c r="NY16" s="2">
        <v>1753015000</v>
      </c>
      <c r="NZ16" s="2">
        <v>2699820212</v>
      </c>
      <c r="OA16" s="2">
        <v>4336045242</v>
      </c>
      <c r="OB16" s="2">
        <v>5504479490</v>
      </c>
      <c r="OC16" s="2">
        <v>4664231366</v>
      </c>
      <c r="OD16" s="2">
        <v>4825972466</v>
      </c>
      <c r="OE16" s="2">
        <v>6508856403</v>
      </c>
      <c r="OF16" s="2">
        <v>2901325040</v>
      </c>
      <c r="OG16" s="140">
        <v>2377262827</v>
      </c>
    </row>
    <row r="17" spans="1:397" s="2" customFormat="1" ht="15" customHeight="1" x14ac:dyDescent="0.25">
      <c r="A17" s="26" t="s">
        <v>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f>P15-P16</f>
        <v>33772055</v>
      </c>
      <c r="Q17" s="9">
        <f>Q15-Q16</f>
        <v>13938513</v>
      </c>
      <c r="R17" s="9">
        <f>R15-R16</f>
        <v>13362428</v>
      </c>
      <c r="S17" s="9">
        <f>S15-S16</f>
        <v>14541912</v>
      </c>
      <c r="T17" s="9">
        <v>17129159</v>
      </c>
      <c r="U17" s="9">
        <v>16241658</v>
      </c>
      <c r="V17" s="9">
        <v>30451674</v>
      </c>
      <c r="W17" s="9">
        <v>15290597</v>
      </c>
      <c r="X17" s="9">
        <v>10552220</v>
      </c>
      <c r="Y17" s="9">
        <v>17561048</v>
      </c>
      <c r="Z17" s="9">
        <v>7520399</v>
      </c>
      <c r="AA17" s="9">
        <v>16506302</v>
      </c>
      <c r="AB17" s="9">
        <v>20846717</v>
      </c>
      <c r="AC17" s="9">
        <v>9090871</v>
      </c>
      <c r="AD17" s="9">
        <v>28474413</v>
      </c>
      <c r="AE17" s="9">
        <v>19265892</v>
      </c>
      <c r="AF17" s="9">
        <v>8028516</v>
      </c>
      <c r="AG17" s="9">
        <v>10106362</v>
      </c>
      <c r="AH17" s="9">
        <v>5901591</v>
      </c>
      <c r="AI17" s="9">
        <v>5444226</v>
      </c>
      <c r="AJ17" s="9">
        <v>10070221</v>
      </c>
      <c r="AK17" s="9">
        <v>23720594</v>
      </c>
      <c r="AL17" s="9">
        <v>10664019</v>
      </c>
      <c r="AM17" s="9">
        <v>9666854</v>
      </c>
      <c r="AN17" s="9">
        <v>9948512</v>
      </c>
      <c r="AO17" s="9">
        <v>7291463</v>
      </c>
      <c r="AP17" s="9">
        <v>4254294</v>
      </c>
      <c r="AQ17" s="9">
        <v>3822644</v>
      </c>
      <c r="AR17" s="9">
        <v>4525799</v>
      </c>
      <c r="AS17" s="9">
        <v>3573211</v>
      </c>
      <c r="AT17" s="9">
        <v>6159388</v>
      </c>
      <c r="AU17" s="9">
        <v>12120258</v>
      </c>
      <c r="AV17" s="9">
        <v>12499773</v>
      </c>
      <c r="AW17" s="9">
        <v>9716505</v>
      </c>
      <c r="AX17" s="9">
        <v>6447244</v>
      </c>
      <c r="AY17" s="9">
        <v>7564302</v>
      </c>
      <c r="AZ17" s="9">
        <v>15077014</v>
      </c>
      <c r="BA17" s="9">
        <v>28115202</v>
      </c>
      <c r="BB17" s="9">
        <v>17337255</v>
      </c>
      <c r="BC17" s="9">
        <v>14089984</v>
      </c>
      <c r="BD17" s="9">
        <v>17518315</v>
      </c>
      <c r="BE17" s="9">
        <v>17520425</v>
      </c>
      <c r="BF17" s="9">
        <v>11729681</v>
      </c>
      <c r="BG17" s="9">
        <v>15953529</v>
      </c>
      <c r="BH17" s="9">
        <v>11152600</v>
      </c>
      <c r="BI17" s="9">
        <v>9003070</v>
      </c>
      <c r="BJ17" s="9">
        <v>9948863</v>
      </c>
      <c r="BK17" s="9">
        <v>16856598</v>
      </c>
      <c r="BL17" s="9">
        <v>18508283</v>
      </c>
      <c r="BM17" s="9">
        <v>17385396</v>
      </c>
      <c r="BN17" s="9">
        <v>13461581</v>
      </c>
      <c r="BO17" s="9">
        <v>30680900</v>
      </c>
      <c r="BP17" s="9">
        <v>31651766</v>
      </c>
      <c r="BQ17" s="9">
        <v>11729681</v>
      </c>
      <c r="BR17" s="9">
        <v>12128574</v>
      </c>
      <c r="BS17" s="9">
        <v>13905520</v>
      </c>
      <c r="BT17" s="9">
        <v>27894658</v>
      </c>
      <c r="BU17" s="9">
        <v>4701962</v>
      </c>
      <c r="BV17" s="9">
        <v>4719885</v>
      </c>
      <c r="BW17" s="9">
        <v>7046812</v>
      </c>
      <c r="BX17" s="9">
        <v>12440383</v>
      </c>
      <c r="BY17" s="9">
        <v>6422543</v>
      </c>
      <c r="BZ17" s="9">
        <v>25450747</v>
      </c>
      <c r="CA17" s="9">
        <v>7281669</v>
      </c>
      <c r="CB17" s="9">
        <v>17350350</v>
      </c>
      <c r="CC17" s="9">
        <v>12203820</v>
      </c>
      <c r="CD17" s="9">
        <v>7393805</v>
      </c>
      <c r="CE17" s="9">
        <v>9130939</v>
      </c>
      <c r="CF17" s="9">
        <v>8679824</v>
      </c>
      <c r="CG17" s="9">
        <v>10739433</v>
      </c>
      <c r="CH17" s="9">
        <v>3815033</v>
      </c>
      <c r="CI17" s="9">
        <v>9041678</v>
      </c>
      <c r="CJ17" s="9">
        <v>5767715</v>
      </c>
      <c r="CK17" s="9">
        <v>3813092</v>
      </c>
      <c r="CL17" s="9">
        <v>4857051</v>
      </c>
      <c r="CM17" s="9">
        <v>7350545</v>
      </c>
      <c r="CN17" s="9">
        <v>31702664</v>
      </c>
      <c r="CO17" s="9">
        <v>8517773</v>
      </c>
      <c r="CP17" s="9">
        <v>6205030</v>
      </c>
      <c r="CQ17" s="9">
        <v>6068818</v>
      </c>
      <c r="CR17" s="9">
        <v>6384349</v>
      </c>
      <c r="CS17" s="9">
        <v>5165142</v>
      </c>
      <c r="CT17" s="9">
        <v>6312780</v>
      </c>
      <c r="CU17" s="9">
        <v>3239256</v>
      </c>
      <c r="CV17" s="9">
        <v>4289597</v>
      </c>
      <c r="CW17" s="9">
        <v>9599126</v>
      </c>
      <c r="CX17" s="9">
        <v>4795635</v>
      </c>
      <c r="CY17" s="9">
        <v>11500947</v>
      </c>
      <c r="CZ17" s="9">
        <v>4454098</v>
      </c>
      <c r="DA17" s="9">
        <v>45994658</v>
      </c>
      <c r="DB17" s="9">
        <v>8381144</v>
      </c>
      <c r="DC17" s="9">
        <v>8668271</v>
      </c>
      <c r="DD17" s="9">
        <v>20754594</v>
      </c>
      <c r="DE17" s="9">
        <v>12300612</v>
      </c>
      <c r="DF17" s="9">
        <v>8860015</v>
      </c>
      <c r="DG17" s="9">
        <v>8164957</v>
      </c>
      <c r="DH17" s="9">
        <v>11819909</v>
      </c>
      <c r="DI17" s="9">
        <v>6850353</v>
      </c>
      <c r="DJ17" s="9">
        <v>12625037</v>
      </c>
      <c r="DK17" s="9">
        <v>75221018</v>
      </c>
      <c r="DL17" s="9">
        <v>9134649</v>
      </c>
      <c r="DM17" s="9">
        <v>16084298</v>
      </c>
      <c r="DN17" s="9">
        <v>18089638</v>
      </c>
      <c r="DO17" s="9">
        <v>7438438</v>
      </c>
      <c r="DP17" s="9">
        <v>7083737</v>
      </c>
      <c r="DQ17" s="9">
        <v>3706501</v>
      </c>
      <c r="DR17" s="9">
        <v>21748105</v>
      </c>
      <c r="DS17" s="9">
        <v>4536945</v>
      </c>
      <c r="DT17" s="9">
        <v>8288932</v>
      </c>
      <c r="DU17" s="9">
        <v>7696899</v>
      </c>
      <c r="DV17" s="9">
        <v>14765209</v>
      </c>
      <c r="DW17" s="10">
        <v>37421877</v>
      </c>
      <c r="DX17" s="9">
        <v>20974969</v>
      </c>
      <c r="DY17" s="9">
        <v>25775217</v>
      </c>
      <c r="DZ17" s="9">
        <v>102343656</v>
      </c>
      <c r="EA17" s="9">
        <v>47427580</v>
      </c>
      <c r="EB17" s="9">
        <v>25503961</v>
      </c>
      <c r="EC17" s="9">
        <v>6566315</v>
      </c>
      <c r="ED17" s="9">
        <v>11243660</v>
      </c>
      <c r="EE17" s="9">
        <v>13523557</v>
      </c>
      <c r="EF17" s="9">
        <v>11295199</v>
      </c>
      <c r="EG17" s="9">
        <v>18021462</v>
      </c>
      <c r="EH17" s="9">
        <v>26657011</v>
      </c>
      <c r="EI17" s="9">
        <v>26060518</v>
      </c>
      <c r="EJ17" s="9">
        <v>40319022</v>
      </c>
      <c r="EK17" s="9">
        <v>17360191</v>
      </c>
      <c r="EL17" s="9">
        <v>39684585</v>
      </c>
      <c r="EM17" s="9">
        <v>28607390</v>
      </c>
      <c r="EN17" s="9">
        <v>17008192</v>
      </c>
      <c r="EO17" s="9">
        <v>22772549</v>
      </c>
      <c r="EP17" s="9">
        <v>38484736</v>
      </c>
      <c r="EQ17" s="9">
        <v>62654125</v>
      </c>
      <c r="ER17" s="9">
        <v>65254790</v>
      </c>
      <c r="ES17" s="9">
        <v>45844541</v>
      </c>
      <c r="ET17" s="9">
        <v>39907389</v>
      </c>
      <c r="EU17" s="9">
        <v>17787989</v>
      </c>
      <c r="EV17" s="9">
        <v>107187978</v>
      </c>
      <c r="EW17" s="9">
        <v>123004425</v>
      </c>
      <c r="EX17" s="9">
        <v>63764128</v>
      </c>
      <c r="EY17" s="9">
        <v>110615049</v>
      </c>
      <c r="EZ17" s="9">
        <v>91998038</v>
      </c>
      <c r="FA17" s="9">
        <v>48560592</v>
      </c>
      <c r="FB17" s="9">
        <v>83552253</v>
      </c>
      <c r="FC17" s="9">
        <v>42107343</v>
      </c>
      <c r="FD17" s="9">
        <v>79877496</v>
      </c>
      <c r="FE17" s="9">
        <v>58515098</v>
      </c>
      <c r="FF17" s="9">
        <v>38207949</v>
      </c>
      <c r="FG17" s="9">
        <v>36777195</v>
      </c>
      <c r="FH17" s="14">
        <v>55424047</v>
      </c>
      <c r="FI17" s="14">
        <v>44021609</v>
      </c>
      <c r="FJ17" s="14">
        <v>26212033</v>
      </c>
      <c r="FK17" s="9">
        <v>41824744</v>
      </c>
      <c r="FL17" s="9">
        <v>197126570</v>
      </c>
      <c r="FM17" s="14">
        <v>30520714</v>
      </c>
      <c r="FN17" s="9">
        <v>42202698</v>
      </c>
      <c r="FO17" s="9">
        <v>62301275</v>
      </c>
      <c r="FP17" s="9">
        <v>46131593</v>
      </c>
      <c r="FQ17" s="9">
        <v>24873062</v>
      </c>
      <c r="FR17" s="9">
        <v>319130305</v>
      </c>
      <c r="FS17" s="9">
        <v>76556726</v>
      </c>
      <c r="FT17" s="9">
        <v>29134228</v>
      </c>
      <c r="FU17" s="9">
        <v>28682781</v>
      </c>
      <c r="FV17" s="9">
        <v>86689501</v>
      </c>
      <c r="FW17" s="9">
        <v>68334566</v>
      </c>
      <c r="FX17" s="9">
        <v>86033171</v>
      </c>
      <c r="FY17" s="9">
        <v>28116943</v>
      </c>
      <c r="FZ17" s="9">
        <v>30596170</v>
      </c>
      <c r="GA17" s="9">
        <v>91328798</v>
      </c>
      <c r="GB17" s="9">
        <v>80977579</v>
      </c>
      <c r="GC17" s="9">
        <v>811343328</v>
      </c>
      <c r="GD17" s="9">
        <v>18421258</v>
      </c>
      <c r="GE17" s="9">
        <v>16151054</v>
      </c>
      <c r="GF17" s="9">
        <v>41939578</v>
      </c>
      <c r="GG17" s="9">
        <v>53073833</v>
      </c>
      <c r="GH17" s="9">
        <v>20697374</v>
      </c>
      <c r="GI17" s="9">
        <v>26896429</v>
      </c>
      <c r="GJ17" s="9">
        <v>22115841</v>
      </c>
      <c r="GK17" s="9">
        <v>9972467</v>
      </c>
      <c r="GL17" s="9">
        <v>24106152</v>
      </c>
      <c r="GM17" s="9">
        <v>104183174</v>
      </c>
      <c r="GN17" s="9">
        <v>54928719</v>
      </c>
      <c r="GO17" s="9">
        <v>27187567</v>
      </c>
      <c r="GP17" s="9">
        <v>261919144</v>
      </c>
      <c r="GQ17" s="9">
        <v>87295887</v>
      </c>
      <c r="GR17" s="9">
        <v>98234634</v>
      </c>
      <c r="GS17" s="9">
        <v>41111130</v>
      </c>
      <c r="GT17" s="9">
        <v>85731345</v>
      </c>
      <c r="GU17" s="9">
        <v>74851238</v>
      </c>
      <c r="GV17" s="9">
        <v>47655713</v>
      </c>
      <c r="GW17" s="9">
        <v>83846124</v>
      </c>
      <c r="GX17" s="9">
        <v>112431429</v>
      </c>
      <c r="GY17" s="9">
        <v>152770788</v>
      </c>
      <c r="GZ17" s="9">
        <v>144814933</v>
      </c>
      <c r="HA17" s="9">
        <v>128536586</v>
      </c>
      <c r="HB17" s="9">
        <v>127327821</v>
      </c>
      <c r="HC17" s="9">
        <v>220609066</v>
      </c>
      <c r="HD17" s="9">
        <v>162789881</v>
      </c>
      <c r="HE17" s="9">
        <v>156827771</v>
      </c>
      <c r="HF17" s="9">
        <v>189763419</v>
      </c>
      <c r="HG17" s="9">
        <v>115973044</v>
      </c>
      <c r="HH17" s="9">
        <v>94085471</v>
      </c>
      <c r="HI17" s="9">
        <v>187095907</v>
      </c>
      <c r="HJ17" s="9">
        <v>161464081</v>
      </c>
      <c r="HK17" s="9">
        <v>92088021</v>
      </c>
      <c r="HL17" s="9">
        <v>146630186</v>
      </c>
      <c r="HM17" s="9">
        <v>59216445</v>
      </c>
      <c r="HN17" s="9">
        <v>107607166</v>
      </c>
      <c r="HO17" s="9">
        <v>217273025</v>
      </c>
      <c r="HP17" s="9">
        <v>85214134</v>
      </c>
      <c r="HQ17" s="9">
        <v>95281331</v>
      </c>
      <c r="HR17" s="9">
        <v>158242670</v>
      </c>
      <c r="HS17" s="9">
        <v>117975302</v>
      </c>
      <c r="HT17" s="9">
        <v>73966694</v>
      </c>
      <c r="HU17" s="9">
        <v>77157474</v>
      </c>
      <c r="HV17" s="9">
        <v>65138227</v>
      </c>
      <c r="HW17" s="9">
        <v>78828404</v>
      </c>
      <c r="HX17" s="9">
        <v>82889602</v>
      </c>
      <c r="HY17" s="9">
        <v>41275599</v>
      </c>
      <c r="HZ17" s="9">
        <v>41361949</v>
      </c>
      <c r="IA17" s="9">
        <v>57190739</v>
      </c>
      <c r="IB17" s="9">
        <v>81223444</v>
      </c>
      <c r="IC17" s="9">
        <v>41288467</v>
      </c>
      <c r="ID17" s="9">
        <v>150578786</v>
      </c>
      <c r="IE17" s="9">
        <v>201176385</v>
      </c>
      <c r="IF17" s="9">
        <v>371108298</v>
      </c>
      <c r="IG17" s="9">
        <v>189638908</v>
      </c>
      <c r="IH17" s="15">
        <v>150841460</v>
      </c>
      <c r="II17" s="15">
        <v>174728153</v>
      </c>
      <c r="IJ17" s="15">
        <v>68425355</v>
      </c>
      <c r="IK17" s="9">
        <v>162506527</v>
      </c>
      <c r="IL17" s="9">
        <v>93594637</v>
      </c>
      <c r="IM17" s="9">
        <v>60281893</v>
      </c>
      <c r="IN17" s="9">
        <v>59476016</v>
      </c>
      <c r="IO17" s="9">
        <v>72547339</v>
      </c>
      <c r="IP17" s="9">
        <v>65308543</v>
      </c>
      <c r="IQ17" s="9">
        <v>119570289</v>
      </c>
      <c r="IR17" s="9">
        <v>94418617</v>
      </c>
      <c r="IS17" s="9">
        <v>70972177</v>
      </c>
      <c r="IT17" s="9">
        <v>118710400</v>
      </c>
      <c r="IU17" s="9">
        <v>119665682</v>
      </c>
      <c r="IV17" s="9">
        <v>73205046</v>
      </c>
      <c r="IW17" s="9">
        <v>62308518</v>
      </c>
      <c r="IX17" s="9">
        <v>392188532</v>
      </c>
      <c r="IY17" s="9">
        <v>90032818</v>
      </c>
      <c r="IZ17" s="9">
        <v>110003464</v>
      </c>
      <c r="JA17" s="14">
        <v>211128711</v>
      </c>
      <c r="JB17" s="9">
        <v>186687777</v>
      </c>
      <c r="JC17" s="9">
        <v>304452951</v>
      </c>
      <c r="JD17" s="9">
        <v>243540397</v>
      </c>
      <c r="JE17" s="9">
        <v>83481158</v>
      </c>
      <c r="JF17" s="9">
        <v>100230243</v>
      </c>
      <c r="JG17" s="9">
        <v>126546654</v>
      </c>
      <c r="JH17" s="9">
        <v>84172067</v>
      </c>
      <c r="JI17" s="9">
        <v>107050557</v>
      </c>
      <c r="JJ17" s="9">
        <v>87945135</v>
      </c>
      <c r="JK17" s="9">
        <v>104702016</v>
      </c>
      <c r="JL17" s="9">
        <v>217063578</v>
      </c>
      <c r="JM17" s="9">
        <v>166763763</v>
      </c>
      <c r="JN17" s="9">
        <v>73587758</v>
      </c>
      <c r="JO17" s="9">
        <v>132682057</v>
      </c>
      <c r="JP17" s="9">
        <v>103099252</v>
      </c>
      <c r="JQ17" s="9">
        <v>417660164</v>
      </c>
      <c r="JR17" s="9">
        <v>151470135</v>
      </c>
      <c r="JS17" s="9">
        <v>224505687</v>
      </c>
      <c r="JT17" s="9">
        <v>112507140</v>
      </c>
      <c r="JU17" s="9">
        <v>83433789</v>
      </c>
      <c r="JV17" s="9">
        <v>123840163</v>
      </c>
      <c r="JW17" s="52">
        <v>68066422</v>
      </c>
      <c r="JX17" s="59">
        <v>126406603</v>
      </c>
      <c r="JY17" s="59">
        <v>131330441</v>
      </c>
      <c r="JZ17" s="59">
        <v>92422484</v>
      </c>
      <c r="KA17" s="59">
        <v>56360032</v>
      </c>
      <c r="KB17" s="59">
        <v>37589370</v>
      </c>
      <c r="KC17" s="59">
        <v>211774230</v>
      </c>
      <c r="KD17" s="59">
        <v>400428400</v>
      </c>
      <c r="KE17" s="59">
        <v>134274424</v>
      </c>
      <c r="KF17" s="59">
        <v>172924452</v>
      </c>
      <c r="KG17" s="59">
        <v>164179373</v>
      </c>
      <c r="KH17" s="59">
        <v>98568803</v>
      </c>
      <c r="KI17" s="59">
        <v>133681769</v>
      </c>
      <c r="KJ17" s="59">
        <v>116287903</v>
      </c>
      <c r="KK17" s="59">
        <v>77597758</v>
      </c>
      <c r="KL17" s="87">
        <v>213299945</v>
      </c>
      <c r="KM17" s="96">
        <v>140405881</v>
      </c>
      <c r="KN17" s="96">
        <v>221736828</v>
      </c>
      <c r="KO17" s="96">
        <v>66513117</v>
      </c>
      <c r="KP17" s="96">
        <v>66624596</v>
      </c>
      <c r="KQ17" s="96">
        <v>108241454</v>
      </c>
      <c r="KR17" s="96">
        <v>175588162</v>
      </c>
      <c r="KS17" s="96">
        <v>74493106</v>
      </c>
      <c r="KT17" s="96">
        <v>138964948</v>
      </c>
      <c r="KU17" s="96">
        <v>95021704</v>
      </c>
      <c r="KV17" s="96">
        <v>49137155</v>
      </c>
      <c r="KW17" s="96">
        <v>66809396</v>
      </c>
      <c r="KX17" s="96">
        <v>61806268</v>
      </c>
      <c r="KY17" s="96">
        <v>123462036</v>
      </c>
      <c r="KZ17" s="96">
        <v>76729723</v>
      </c>
      <c r="LA17" s="105">
        <v>143035596</v>
      </c>
      <c r="LB17" s="96">
        <v>60292835</v>
      </c>
      <c r="LC17" s="96">
        <v>108360406</v>
      </c>
      <c r="LD17" s="96">
        <v>81912850</v>
      </c>
      <c r="LE17" s="96">
        <v>86747016</v>
      </c>
      <c r="LF17" s="96">
        <v>60751883</v>
      </c>
      <c r="LG17" s="96">
        <v>43808841</v>
      </c>
      <c r="LH17" s="96">
        <v>1423207722</v>
      </c>
      <c r="LI17" s="96">
        <v>88379932</v>
      </c>
      <c r="LJ17" s="96">
        <v>348209040</v>
      </c>
      <c r="LK17" s="96">
        <v>254766908</v>
      </c>
      <c r="LL17" s="96">
        <v>151003208</v>
      </c>
      <c r="LM17" s="96">
        <v>56220679</v>
      </c>
      <c r="LN17" s="96">
        <v>254482255</v>
      </c>
      <c r="LO17" s="96">
        <v>41445526</v>
      </c>
      <c r="LP17" s="96">
        <v>48401921</v>
      </c>
      <c r="LQ17" s="218"/>
      <c r="LR17" s="96">
        <v>175856489</v>
      </c>
      <c r="LS17" s="96">
        <v>283478173</v>
      </c>
      <c r="LT17" s="111">
        <v>155358007</v>
      </c>
      <c r="LU17" s="2">
        <v>102897502</v>
      </c>
      <c r="LV17" s="120">
        <v>201863154</v>
      </c>
      <c r="LW17" s="96">
        <v>99515036</v>
      </c>
      <c r="LX17" s="96">
        <v>62599292</v>
      </c>
      <c r="LY17" s="96">
        <v>115563795</v>
      </c>
      <c r="LZ17" s="131">
        <v>168861156</v>
      </c>
      <c r="MA17" s="131">
        <v>67284923</v>
      </c>
      <c r="MB17" s="96">
        <v>622207723</v>
      </c>
      <c r="MC17" s="96">
        <v>83883111</v>
      </c>
      <c r="MD17" s="96">
        <v>162681146</v>
      </c>
      <c r="ME17" s="96">
        <v>72579989</v>
      </c>
      <c r="MF17" s="96">
        <v>191081746</v>
      </c>
      <c r="MG17" s="96">
        <v>96888579</v>
      </c>
      <c r="MH17" s="96">
        <v>104816151</v>
      </c>
      <c r="MI17" s="96">
        <v>55510325</v>
      </c>
      <c r="MJ17" s="96">
        <v>111102880</v>
      </c>
      <c r="MK17" s="96">
        <v>129591697</v>
      </c>
      <c r="ML17" s="2">
        <v>273659532</v>
      </c>
      <c r="MM17" s="96">
        <v>54182161</v>
      </c>
      <c r="MN17" s="140">
        <v>57368267</v>
      </c>
      <c r="MO17" s="96">
        <v>17394606</v>
      </c>
      <c r="MP17" s="96">
        <v>35845325</v>
      </c>
      <c r="MQ17" s="96">
        <v>42622680</v>
      </c>
      <c r="MR17" s="151">
        <v>39063399</v>
      </c>
      <c r="MS17" s="152">
        <v>94121536</v>
      </c>
      <c r="MT17" s="175" t="s">
        <v>32</v>
      </c>
      <c r="MU17" s="152">
        <v>34585426</v>
      </c>
      <c r="MV17" s="152">
        <v>66231569</v>
      </c>
      <c r="MW17" s="153">
        <v>80237600</v>
      </c>
      <c r="MX17" s="96">
        <v>43762541</v>
      </c>
      <c r="MY17" s="96">
        <v>346212973</v>
      </c>
      <c r="MZ17" s="96">
        <v>72819072</v>
      </c>
      <c r="NA17" s="96">
        <v>67633551</v>
      </c>
      <c r="NB17" s="96">
        <v>36048696</v>
      </c>
      <c r="NC17" s="105">
        <v>46892826</v>
      </c>
      <c r="ND17" s="96">
        <v>116507081</v>
      </c>
      <c r="NE17" s="96">
        <v>138041549</v>
      </c>
      <c r="NF17" s="96">
        <v>51370295</v>
      </c>
      <c r="NG17" s="2">
        <v>60215047</v>
      </c>
      <c r="NH17" s="178">
        <v>64474519</v>
      </c>
      <c r="NI17" s="2">
        <v>55404354</v>
      </c>
      <c r="NJ17" s="96">
        <v>63491830</v>
      </c>
      <c r="NK17" s="96">
        <v>142795643</v>
      </c>
      <c r="NL17" s="96">
        <v>400887725</v>
      </c>
      <c r="NM17" s="151">
        <v>174504302</v>
      </c>
      <c r="NN17" s="152">
        <v>132514987</v>
      </c>
      <c r="NO17" s="186">
        <v>93935833</v>
      </c>
      <c r="NP17" s="152">
        <v>224615315</v>
      </c>
      <c r="NQ17" s="152">
        <v>29160815</v>
      </c>
      <c r="NR17" s="186">
        <v>78260236</v>
      </c>
      <c r="NS17" s="152">
        <v>87680242</v>
      </c>
      <c r="NT17" s="152">
        <v>125320493</v>
      </c>
      <c r="NU17" s="153">
        <v>318386979</v>
      </c>
      <c r="NV17" s="2">
        <v>274388400</v>
      </c>
      <c r="NW17" s="2">
        <v>149704962</v>
      </c>
      <c r="NX17" s="2">
        <v>78427782</v>
      </c>
      <c r="NY17" s="2">
        <v>110638053</v>
      </c>
      <c r="NZ17" s="2">
        <v>198514449</v>
      </c>
      <c r="OA17" s="2">
        <v>136837609</v>
      </c>
      <c r="OB17" s="2">
        <v>437669691</v>
      </c>
      <c r="OC17" s="2">
        <v>114754445</v>
      </c>
      <c r="OD17" s="2">
        <v>343358019</v>
      </c>
      <c r="OE17" s="2">
        <v>161727786</v>
      </c>
      <c r="OF17" s="2">
        <v>114792364</v>
      </c>
      <c r="OG17" s="140">
        <v>87890485</v>
      </c>
    </row>
    <row r="18" spans="1:397" ht="15" customHeight="1" x14ac:dyDescent="0.25">
      <c r="A18" s="25" t="s">
        <v>11</v>
      </c>
      <c r="B18" s="9">
        <v>129</v>
      </c>
      <c r="C18" s="9">
        <v>134</v>
      </c>
      <c r="D18" s="9">
        <v>137</v>
      </c>
      <c r="E18" s="9">
        <v>132</v>
      </c>
      <c r="F18" s="9">
        <v>132</v>
      </c>
      <c r="G18" s="9">
        <v>148</v>
      </c>
      <c r="H18" s="9">
        <v>145</v>
      </c>
      <c r="I18" s="9">
        <v>158</v>
      </c>
      <c r="J18" s="9">
        <v>149</v>
      </c>
      <c r="K18" s="9">
        <v>158</v>
      </c>
      <c r="L18" s="9">
        <v>155</v>
      </c>
      <c r="M18" s="9">
        <v>156</v>
      </c>
      <c r="N18" s="9">
        <v>169</v>
      </c>
      <c r="O18" s="9">
        <v>162</v>
      </c>
      <c r="P18" s="9">
        <v>164</v>
      </c>
      <c r="Q18" s="9">
        <v>148</v>
      </c>
      <c r="R18" s="9">
        <v>152</v>
      </c>
      <c r="S18" s="9">
        <v>156</v>
      </c>
      <c r="T18" s="9">
        <v>167</v>
      </c>
      <c r="U18" s="9">
        <v>160</v>
      </c>
      <c r="V18" s="10">
        <v>166</v>
      </c>
      <c r="W18" s="10">
        <v>176</v>
      </c>
      <c r="X18" s="10">
        <v>172</v>
      </c>
      <c r="Y18" s="10">
        <v>172</v>
      </c>
      <c r="Z18" s="10">
        <v>175</v>
      </c>
      <c r="AA18" s="10">
        <v>167</v>
      </c>
      <c r="AB18" s="10">
        <v>178</v>
      </c>
      <c r="AC18" s="10">
        <v>149</v>
      </c>
      <c r="AD18" s="10">
        <v>152</v>
      </c>
      <c r="AE18" s="10">
        <v>159</v>
      </c>
      <c r="AF18" s="10">
        <v>167</v>
      </c>
      <c r="AG18" s="10">
        <v>168</v>
      </c>
      <c r="AH18" s="10">
        <v>161</v>
      </c>
      <c r="AI18" s="10">
        <v>161</v>
      </c>
      <c r="AJ18" s="10">
        <v>165</v>
      </c>
      <c r="AK18" s="10">
        <v>172</v>
      </c>
      <c r="AL18" s="10">
        <v>183</v>
      </c>
      <c r="AM18" s="10">
        <v>152</v>
      </c>
      <c r="AN18" s="10">
        <v>157</v>
      </c>
      <c r="AO18" s="10">
        <v>155</v>
      </c>
      <c r="AP18" s="10">
        <v>157</v>
      </c>
      <c r="AQ18" s="10">
        <v>162</v>
      </c>
      <c r="AR18" s="10">
        <v>160</v>
      </c>
      <c r="AS18" s="10">
        <v>159</v>
      </c>
      <c r="AT18" s="10">
        <v>163</v>
      </c>
      <c r="AU18" s="10">
        <v>159</v>
      </c>
      <c r="AV18" s="10">
        <v>197</v>
      </c>
      <c r="AW18" s="10">
        <v>169</v>
      </c>
      <c r="AX18" s="10">
        <v>174</v>
      </c>
      <c r="AY18" s="10">
        <v>164</v>
      </c>
      <c r="AZ18" s="10">
        <v>175</v>
      </c>
      <c r="BA18" s="10">
        <v>171</v>
      </c>
      <c r="BB18" s="10">
        <v>178</v>
      </c>
      <c r="BC18" s="10">
        <v>178</v>
      </c>
      <c r="BD18" s="10">
        <v>187</v>
      </c>
      <c r="BE18" s="10">
        <v>194</v>
      </c>
      <c r="BF18" s="10">
        <v>184</v>
      </c>
      <c r="BG18" s="10">
        <v>177</v>
      </c>
      <c r="BH18" s="10">
        <v>172</v>
      </c>
      <c r="BI18" s="10">
        <v>179</v>
      </c>
      <c r="BJ18" s="10">
        <v>175</v>
      </c>
      <c r="BK18" s="10">
        <v>178</v>
      </c>
      <c r="BL18" s="10">
        <v>197</v>
      </c>
      <c r="BM18" s="10">
        <v>179</v>
      </c>
      <c r="BN18" s="10">
        <v>171</v>
      </c>
      <c r="BO18" s="10">
        <v>179</v>
      </c>
      <c r="BP18" s="10">
        <v>176</v>
      </c>
      <c r="BQ18" s="10">
        <v>185</v>
      </c>
      <c r="BR18" s="10">
        <v>180</v>
      </c>
      <c r="BS18" s="10">
        <v>183</v>
      </c>
      <c r="BT18" s="10">
        <v>175</v>
      </c>
      <c r="BU18" s="10">
        <v>183</v>
      </c>
      <c r="BV18" s="10">
        <v>191</v>
      </c>
      <c r="BW18" s="10">
        <v>189</v>
      </c>
      <c r="BX18" s="10">
        <v>183</v>
      </c>
      <c r="BY18" s="10">
        <v>172</v>
      </c>
      <c r="BZ18" s="10">
        <v>184</v>
      </c>
      <c r="CA18" s="10">
        <v>191</v>
      </c>
      <c r="CB18" s="10">
        <v>197</v>
      </c>
      <c r="CC18" s="10">
        <v>192</v>
      </c>
      <c r="CD18" s="10">
        <v>185</v>
      </c>
      <c r="CE18" s="10">
        <v>182</v>
      </c>
      <c r="CF18" s="10">
        <v>183</v>
      </c>
      <c r="CG18" s="10">
        <v>182</v>
      </c>
      <c r="CH18" s="10">
        <v>176</v>
      </c>
      <c r="CI18" s="10">
        <v>186</v>
      </c>
      <c r="CJ18" s="10">
        <v>190</v>
      </c>
      <c r="CK18" s="10">
        <v>172</v>
      </c>
      <c r="CL18" s="10">
        <v>180</v>
      </c>
      <c r="CM18" s="10">
        <v>183</v>
      </c>
      <c r="CN18" s="10">
        <v>193</v>
      </c>
      <c r="CO18" s="10">
        <v>205</v>
      </c>
      <c r="CP18" s="10">
        <v>180</v>
      </c>
      <c r="CQ18" s="10">
        <v>177</v>
      </c>
      <c r="CR18" s="10">
        <v>190</v>
      </c>
      <c r="CS18" s="10">
        <v>175</v>
      </c>
      <c r="CT18" s="10">
        <v>179</v>
      </c>
      <c r="CU18" s="10">
        <v>165</v>
      </c>
      <c r="CV18" s="9">
        <v>197</v>
      </c>
      <c r="CW18" s="10">
        <v>189</v>
      </c>
      <c r="CX18" s="10">
        <v>179</v>
      </c>
      <c r="CY18" s="10">
        <v>184</v>
      </c>
      <c r="CZ18" s="10">
        <v>191</v>
      </c>
      <c r="DA18" s="10">
        <v>181</v>
      </c>
      <c r="DB18" s="10">
        <v>180</v>
      </c>
      <c r="DC18" s="10">
        <v>188</v>
      </c>
      <c r="DD18" s="10">
        <v>188</v>
      </c>
      <c r="DE18" s="10">
        <v>193</v>
      </c>
      <c r="DF18" s="10">
        <v>189</v>
      </c>
      <c r="DG18" s="10">
        <v>188</v>
      </c>
      <c r="DH18" s="10">
        <v>189</v>
      </c>
      <c r="DI18" s="10">
        <v>189</v>
      </c>
      <c r="DJ18" s="10">
        <v>190</v>
      </c>
      <c r="DK18" s="10">
        <v>200</v>
      </c>
      <c r="DL18" s="10">
        <v>200</v>
      </c>
      <c r="DM18" s="10">
        <v>200</v>
      </c>
      <c r="DN18" s="10">
        <v>207</v>
      </c>
      <c r="DO18" s="10">
        <v>204</v>
      </c>
      <c r="DP18" s="10">
        <v>202</v>
      </c>
      <c r="DQ18" s="10">
        <v>200</v>
      </c>
      <c r="DR18" s="10">
        <v>201</v>
      </c>
      <c r="DS18" s="10">
        <v>190</v>
      </c>
      <c r="DT18" s="10">
        <v>191</v>
      </c>
      <c r="DU18" s="10">
        <v>194</v>
      </c>
      <c r="DV18" s="10">
        <v>204</v>
      </c>
      <c r="DW18" s="10">
        <v>206</v>
      </c>
      <c r="DX18" s="10">
        <v>205</v>
      </c>
      <c r="DY18" s="10">
        <v>200</v>
      </c>
      <c r="DZ18" s="10">
        <v>211</v>
      </c>
      <c r="EA18" s="10">
        <v>207</v>
      </c>
      <c r="EB18" s="10">
        <v>205</v>
      </c>
      <c r="EC18" s="10">
        <v>207</v>
      </c>
      <c r="ED18" s="10">
        <v>199</v>
      </c>
      <c r="EE18" s="10">
        <v>191</v>
      </c>
      <c r="EF18" s="10">
        <v>214</v>
      </c>
      <c r="EG18" s="10">
        <v>196</v>
      </c>
      <c r="EH18" s="10">
        <v>210</v>
      </c>
      <c r="EI18" s="10">
        <v>218</v>
      </c>
      <c r="EJ18" s="10">
        <v>220</v>
      </c>
      <c r="EK18" s="10">
        <v>220</v>
      </c>
      <c r="EL18" s="10">
        <v>218</v>
      </c>
      <c r="EM18" s="10">
        <v>218</v>
      </c>
      <c r="EN18" s="10">
        <v>218</v>
      </c>
      <c r="EO18" s="10">
        <v>217</v>
      </c>
      <c r="EP18" s="10">
        <v>221</v>
      </c>
      <c r="EQ18" s="10">
        <v>226</v>
      </c>
      <c r="ER18" s="10">
        <v>224</v>
      </c>
      <c r="ES18" s="10">
        <v>216</v>
      </c>
      <c r="ET18" s="10">
        <v>218</v>
      </c>
      <c r="EU18" s="10">
        <v>233</v>
      </c>
      <c r="EV18" s="10">
        <v>220</v>
      </c>
      <c r="EW18" s="10">
        <v>221</v>
      </c>
      <c r="EX18" s="10">
        <v>223</v>
      </c>
      <c r="EY18" s="10">
        <v>223</v>
      </c>
      <c r="EZ18" s="10">
        <v>223</v>
      </c>
      <c r="FA18" s="10">
        <v>220</v>
      </c>
      <c r="FB18" s="10">
        <v>218</v>
      </c>
      <c r="FC18" s="10">
        <v>221</v>
      </c>
      <c r="FD18" s="10">
        <v>221</v>
      </c>
      <c r="FE18" s="10">
        <v>217</v>
      </c>
      <c r="FF18" s="10">
        <v>157</v>
      </c>
      <c r="FG18" s="17">
        <v>221</v>
      </c>
      <c r="FH18" s="14">
        <v>225</v>
      </c>
      <c r="FI18" s="14">
        <v>225</v>
      </c>
      <c r="FJ18" s="14">
        <v>225</v>
      </c>
      <c r="FK18" s="11">
        <v>229</v>
      </c>
      <c r="FL18" s="10">
        <v>224</v>
      </c>
      <c r="FM18" s="14">
        <v>225</v>
      </c>
      <c r="FN18" s="10">
        <v>225</v>
      </c>
      <c r="FO18" s="10">
        <v>227</v>
      </c>
      <c r="FP18" s="10">
        <v>228</v>
      </c>
      <c r="FQ18" s="10">
        <v>223</v>
      </c>
      <c r="FR18" s="10">
        <v>226</v>
      </c>
      <c r="FS18" s="10">
        <v>225</v>
      </c>
      <c r="FT18" s="10">
        <v>222</v>
      </c>
      <c r="FU18" s="10">
        <v>225</v>
      </c>
      <c r="FV18" s="10">
        <v>225</v>
      </c>
      <c r="FW18" s="10">
        <v>226</v>
      </c>
      <c r="FX18" s="10">
        <v>225</v>
      </c>
      <c r="FY18" s="10">
        <v>222</v>
      </c>
      <c r="FZ18" s="10">
        <v>226</v>
      </c>
      <c r="GA18" s="10">
        <v>226</v>
      </c>
      <c r="GB18" s="10">
        <v>228</v>
      </c>
      <c r="GC18" s="10">
        <v>227</v>
      </c>
      <c r="GD18" s="10">
        <v>227</v>
      </c>
      <c r="GE18" s="10">
        <v>227</v>
      </c>
      <c r="GF18" s="10">
        <v>227</v>
      </c>
      <c r="GG18" s="10">
        <v>227</v>
      </c>
      <c r="GH18" s="10">
        <v>228</v>
      </c>
      <c r="GI18" s="10">
        <v>225</v>
      </c>
      <c r="GJ18" s="10">
        <v>226</v>
      </c>
      <c r="GK18" s="10">
        <v>215</v>
      </c>
      <c r="GL18" s="10">
        <v>221</v>
      </c>
      <c r="GM18" s="10">
        <v>217</v>
      </c>
      <c r="GN18" s="10">
        <v>223</v>
      </c>
      <c r="GO18" s="10">
        <v>220</v>
      </c>
      <c r="GP18" s="10">
        <v>220</v>
      </c>
      <c r="GQ18" s="10">
        <v>224</v>
      </c>
      <c r="GR18" s="10">
        <v>221</v>
      </c>
      <c r="GS18" s="10">
        <v>221</v>
      </c>
      <c r="GT18" s="10">
        <v>221</v>
      </c>
      <c r="GU18" s="10">
        <v>222</v>
      </c>
      <c r="GV18" s="10">
        <v>220</v>
      </c>
      <c r="GW18" s="10">
        <v>222</v>
      </c>
      <c r="GX18" s="10">
        <v>225</v>
      </c>
      <c r="GY18" s="10">
        <v>225</v>
      </c>
      <c r="GZ18" s="10">
        <v>226</v>
      </c>
      <c r="HA18" s="10">
        <v>226</v>
      </c>
      <c r="HB18" s="10">
        <v>227</v>
      </c>
      <c r="HC18" s="10">
        <v>229</v>
      </c>
      <c r="HD18" s="10">
        <v>231</v>
      </c>
      <c r="HE18" s="10">
        <v>232</v>
      </c>
      <c r="HF18" s="10">
        <v>231</v>
      </c>
      <c r="HG18" s="10">
        <v>232</v>
      </c>
      <c r="HH18" s="10">
        <v>231</v>
      </c>
      <c r="HI18" s="10">
        <v>237</v>
      </c>
      <c r="HJ18" s="10">
        <v>232</v>
      </c>
      <c r="HK18" s="10">
        <v>239</v>
      </c>
      <c r="HL18" s="10">
        <v>236</v>
      </c>
      <c r="HM18" s="10">
        <v>239</v>
      </c>
      <c r="HN18" s="10">
        <v>244</v>
      </c>
      <c r="HO18" s="10">
        <v>250</v>
      </c>
      <c r="HP18" s="10">
        <v>254</v>
      </c>
      <c r="HQ18" s="10">
        <v>256</v>
      </c>
      <c r="HR18" s="10">
        <v>257</v>
      </c>
      <c r="HS18" s="10">
        <v>261</v>
      </c>
      <c r="HT18" s="10">
        <v>263</v>
      </c>
      <c r="HU18" s="10">
        <v>260</v>
      </c>
      <c r="HV18" s="10">
        <v>263</v>
      </c>
      <c r="HW18" s="10">
        <v>264</v>
      </c>
      <c r="HX18" s="10">
        <v>268</v>
      </c>
      <c r="HY18" s="10">
        <v>267</v>
      </c>
      <c r="HZ18" s="10">
        <v>267</v>
      </c>
      <c r="IA18" s="10">
        <v>273</v>
      </c>
      <c r="IB18" s="10">
        <v>275</v>
      </c>
      <c r="IC18" s="10">
        <v>276</v>
      </c>
      <c r="ID18" s="10">
        <v>279</v>
      </c>
      <c r="IE18" s="10">
        <v>273</v>
      </c>
      <c r="IF18" s="10">
        <v>275</v>
      </c>
      <c r="IG18" s="10">
        <v>276</v>
      </c>
      <c r="IH18" s="18">
        <v>276</v>
      </c>
      <c r="II18" s="18">
        <v>276</v>
      </c>
      <c r="IJ18" s="18">
        <v>277</v>
      </c>
      <c r="IK18" s="10">
        <v>275</v>
      </c>
      <c r="IL18" s="10">
        <v>275</v>
      </c>
      <c r="IM18" s="10">
        <v>276</v>
      </c>
      <c r="IN18" s="10">
        <v>277</v>
      </c>
      <c r="IO18" s="10">
        <v>277</v>
      </c>
      <c r="IP18" s="10">
        <v>276</v>
      </c>
      <c r="IQ18" s="10">
        <v>277</v>
      </c>
      <c r="IR18" s="10">
        <v>276</v>
      </c>
      <c r="IS18" s="10">
        <v>276</v>
      </c>
      <c r="IT18" s="10">
        <v>277</v>
      </c>
      <c r="IU18" s="10">
        <v>278</v>
      </c>
      <c r="IV18" s="10">
        <v>279</v>
      </c>
      <c r="IW18" s="10">
        <v>276</v>
      </c>
      <c r="IX18" s="10">
        <v>279</v>
      </c>
      <c r="IY18" s="10">
        <v>280</v>
      </c>
      <c r="IZ18" s="10">
        <v>281</v>
      </c>
      <c r="JA18" s="14">
        <v>282</v>
      </c>
      <c r="JB18" s="10">
        <v>281</v>
      </c>
      <c r="JC18" s="10">
        <v>279</v>
      </c>
      <c r="JD18" s="10">
        <v>277</v>
      </c>
      <c r="JE18" s="10">
        <v>277</v>
      </c>
      <c r="JF18" s="10">
        <v>274</v>
      </c>
      <c r="JG18" s="10">
        <v>276</v>
      </c>
      <c r="JH18" s="10">
        <v>272</v>
      </c>
      <c r="JI18" s="10">
        <v>275</v>
      </c>
      <c r="JJ18" s="10">
        <v>274</v>
      </c>
      <c r="JK18" s="10">
        <v>276</v>
      </c>
      <c r="JL18" s="10">
        <v>275</v>
      </c>
      <c r="JM18" s="10">
        <v>275</v>
      </c>
      <c r="JN18" s="10">
        <v>274</v>
      </c>
      <c r="JO18" s="10">
        <v>275</v>
      </c>
      <c r="JP18" s="10">
        <v>273</v>
      </c>
      <c r="JQ18" s="10">
        <v>272</v>
      </c>
      <c r="JR18" s="10">
        <v>272</v>
      </c>
      <c r="JS18" s="10">
        <v>270</v>
      </c>
      <c r="JT18" s="10">
        <v>269</v>
      </c>
      <c r="JU18" s="10">
        <v>269</v>
      </c>
      <c r="JV18" s="10">
        <v>270</v>
      </c>
      <c r="JW18" s="51">
        <v>269</v>
      </c>
      <c r="JX18" s="58">
        <v>270</v>
      </c>
      <c r="JY18" s="58">
        <v>271</v>
      </c>
      <c r="JZ18" s="58">
        <v>270</v>
      </c>
      <c r="KA18" s="58">
        <v>269</v>
      </c>
      <c r="KB18" s="58">
        <v>269</v>
      </c>
      <c r="KC18" s="58">
        <v>271</v>
      </c>
      <c r="KD18" s="58">
        <v>271</v>
      </c>
      <c r="KE18" s="58">
        <v>273</v>
      </c>
      <c r="KF18" s="58">
        <v>274</v>
      </c>
      <c r="KG18" s="58">
        <v>275</v>
      </c>
      <c r="KH18" s="58">
        <v>276</v>
      </c>
      <c r="KI18" s="58">
        <v>277</v>
      </c>
      <c r="KJ18" s="58">
        <v>277</v>
      </c>
      <c r="KK18" s="58">
        <v>276</v>
      </c>
      <c r="KL18" s="82">
        <v>276</v>
      </c>
      <c r="KM18" s="92">
        <v>274</v>
      </c>
      <c r="KN18" s="92">
        <v>276</v>
      </c>
      <c r="KO18" s="92">
        <v>271</v>
      </c>
      <c r="KP18" s="92">
        <v>275</v>
      </c>
      <c r="KQ18" s="92">
        <v>278</v>
      </c>
      <c r="KR18" s="92">
        <v>276</v>
      </c>
      <c r="KS18" s="92">
        <v>276</v>
      </c>
      <c r="KT18" s="92">
        <v>275</v>
      </c>
      <c r="KU18" s="92">
        <v>274</v>
      </c>
      <c r="KV18" s="92">
        <v>275</v>
      </c>
      <c r="KW18" s="92">
        <v>275</v>
      </c>
      <c r="KX18" s="92">
        <v>273</v>
      </c>
      <c r="KY18" s="92">
        <v>272</v>
      </c>
      <c r="KZ18" s="92">
        <v>273</v>
      </c>
      <c r="LA18" s="106">
        <v>271</v>
      </c>
      <c r="LB18" s="92">
        <v>267</v>
      </c>
      <c r="LC18" s="92">
        <v>267</v>
      </c>
      <c r="LD18" s="92">
        <v>264</v>
      </c>
      <c r="LE18" s="92">
        <v>265</v>
      </c>
      <c r="LF18" s="92">
        <v>265</v>
      </c>
      <c r="LG18" s="92">
        <v>265</v>
      </c>
      <c r="LH18" s="92">
        <v>266</v>
      </c>
      <c r="LI18" s="96">
        <v>264</v>
      </c>
      <c r="LJ18" s="92">
        <v>265</v>
      </c>
      <c r="LK18" s="92">
        <v>266</v>
      </c>
      <c r="LL18" s="92">
        <v>264</v>
      </c>
      <c r="LM18" s="92">
        <v>265</v>
      </c>
      <c r="LN18" s="92">
        <v>260</v>
      </c>
      <c r="LO18" s="92">
        <v>261</v>
      </c>
      <c r="LP18" s="92">
        <v>257</v>
      </c>
      <c r="LQ18" s="218"/>
      <c r="LR18" s="92">
        <v>261</v>
      </c>
      <c r="LS18" s="92">
        <v>262</v>
      </c>
      <c r="LT18" s="110">
        <v>261</v>
      </c>
      <c r="LU18" s="1">
        <v>261</v>
      </c>
      <c r="LV18" s="122">
        <v>261</v>
      </c>
      <c r="LW18" s="92">
        <v>265</v>
      </c>
      <c r="LX18" s="92">
        <v>266</v>
      </c>
      <c r="LY18" s="92">
        <v>265</v>
      </c>
      <c r="LZ18" s="92">
        <v>265</v>
      </c>
      <c r="MA18" s="92">
        <v>265</v>
      </c>
      <c r="MB18" s="92">
        <v>265</v>
      </c>
      <c r="MC18" s="92">
        <v>260</v>
      </c>
      <c r="MD18" s="92">
        <v>261</v>
      </c>
      <c r="ME18" s="92">
        <v>262</v>
      </c>
      <c r="MF18" s="92">
        <v>262</v>
      </c>
      <c r="MG18" s="92">
        <v>263</v>
      </c>
      <c r="MH18" s="92">
        <v>265</v>
      </c>
      <c r="MI18" s="92">
        <v>265</v>
      </c>
      <c r="MJ18" s="92">
        <v>268</v>
      </c>
      <c r="MK18" s="92">
        <v>275</v>
      </c>
      <c r="ML18" s="1">
        <v>277</v>
      </c>
      <c r="MM18" s="92">
        <v>276</v>
      </c>
      <c r="MN18" s="139">
        <v>277</v>
      </c>
      <c r="MO18" s="92">
        <v>274</v>
      </c>
      <c r="MP18" s="92">
        <v>270</v>
      </c>
      <c r="MQ18" s="92">
        <v>272</v>
      </c>
      <c r="MR18" s="148">
        <v>273</v>
      </c>
      <c r="MS18" s="149">
        <v>271</v>
      </c>
      <c r="MT18" s="149">
        <v>275</v>
      </c>
      <c r="MU18" s="149">
        <v>275</v>
      </c>
      <c r="MV18" s="149">
        <v>274</v>
      </c>
      <c r="MW18" s="150">
        <v>271</v>
      </c>
      <c r="MX18" s="92">
        <v>268</v>
      </c>
      <c r="MY18" s="92">
        <v>270</v>
      </c>
      <c r="MZ18" s="92">
        <v>269</v>
      </c>
      <c r="NA18" s="92">
        <v>269</v>
      </c>
      <c r="NB18" s="92">
        <v>270</v>
      </c>
      <c r="NC18" s="106">
        <v>265</v>
      </c>
      <c r="ND18" s="92">
        <v>265</v>
      </c>
      <c r="NE18" s="92">
        <v>266</v>
      </c>
      <c r="NF18" s="92">
        <v>267</v>
      </c>
      <c r="NG18" s="1">
        <v>267</v>
      </c>
      <c r="NH18" s="177">
        <v>267</v>
      </c>
      <c r="NI18" s="1">
        <v>268</v>
      </c>
      <c r="NJ18" s="92">
        <v>268</v>
      </c>
      <c r="NK18" s="92">
        <v>267</v>
      </c>
      <c r="NL18" s="92">
        <v>267</v>
      </c>
      <c r="NM18" s="148">
        <v>268</v>
      </c>
      <c r="NN18" s="149">
        <v>268</v>
      </c>
      <c r="NO18" s="185">
        <v>268</v>
      </c>
      <c r="NP18" s="149">
        <v>269</v>
      </c>
      <c r="NQ18" s="149">
        <v>270</v>
      </c>
      <c r="NR18" s="185">
        <v>270</v>
      </c>
      <c r="NS18" s="149">
        <v>271</v>
      </c>
      <c r="NT18" s="149">
        <v>271</v>
      </c>
      <c r="NU18" s="150">
        <v>271</v>
      </c>
      <c r="NV18" s="1">
        <v>269</v>
      </c>
      <c r="NW18" s="1">
        <v>268</v>
      </c>
      <c r="NX18" s="1">
        <v>269</v>
      </c>
      <c r="NY18" s="1">
        <v>269</v>
      </c>
      <c r="NZ18" s="1">
        <v>269</v>
      </c>
      <c r="OA18" s="1">
        <v>270</v>
      </c>
      <c r="OB18" s="1">
        <v>270</v>
      </c>
      <c r="OC18" s="1">
        <v>270</v>
      </c>
      <c r="OD18" s="1">
        <v>270</v>
      </c>
      <c r="OE18" s="1">
        <v>271</v>
      </c>
      <c r="OF18" s="1">
        <v>272</v>
      </c>
      <c r="OG18" s="139">
        <v>273</v>
      </c>
    </row>
    <row r="19" spans="1:397" ht="15" customHeight="1" x14ac:dyDescent="0.25">
      <c r="A19" s="25" t="s">
        <v>12</v>
      </c>
      <c r="B19" s="9">
        <v>191</v>
      </c>
      <c r="C19" s="9">
        <v>182</v>
      </c>
      <c r="D19" s="9">
        <v>194</v>
      </c>
      <c r="E19" s="9">
        <v>196</v>
      </c>
      <c r="F19" s="9">
        <v>196</v>
      </c>
      <c r="G19" s="9">
        <v>196</v>
      </c>
      <c r="H19" s="9">
        <v>195</v>
      </c>
      <c r="I19" s="9">
        <v>195</v>
      </c>
      <c r="J19" s="9">
        <v>195</v>
      </c>
      <c r="K19" s="9">
        <v>197</v>
      </c>
      <c r="L19" s="9">
        <v>197</v>
      </c>
      <c r="M19" s="9">
        <v>200</v>
      </c>
      <c r="N19" s="9">
        <v>201</v>
      </c>
      <c r="O19" s="9">
        <v>201</v>
      </c>
      <c r="P19" s="9">
        <v>201</v>
      </c>
      <c r="Q19" s="9">
        <v>202</v>
      </c>
      <c r="R19" s="9">
        <v>203</v>
      </c>
      <c r="S19" s="9">
        <v>206</v>
      </c>
      <c r="T19" s="9">
        <v>207</v>
      </c>
      <c r="U19" s="9">
        <v>208</v>
      </c>
      <c r="V19" s="10">
        <v>212</v>
      </c>
      <c r="W19" s="10">
        <v>212</v>
      </c>
      <c r="X19" s="10">
        <v>213</v>
      </c>
      <c r="Y19" s="10">
        <v>215</v>
      </c>
      <c r="Z19" s="10">
        <v>217</v>
      </c>
      <c r="AA19" s="10">
        <v>221</v>
      </c>
      <c r="AB19" s="10">
        <v>222</v>
      </c>
      <c r="AC19" s="10">
        <v>224</v>
      </c>
      <c r="AD19" s="10">
        <v>225</v>
      </c>
      <c r="AE19" s="10">
        <v>224</v>
      </c>
      <c r="AF19" s="10">
        <v>224</v>
      </c>
      <c r="AG19" s="10">
        <v>224</v>
      </c>
      <c r="AH19" s="10">
        <v>224</v>
      </c>
      <c r="AI19" s="10">
        <v>224</v>
      </c>
      <c r="AJ19" s="10">
        <v>224</v>
      </c>
      <c r="AK19" s="10">
        <v>226</v>
      </c>
      <c r="AL19" s="10">
        <v>230</v>
      </c>
      <c r="AM19" s="10">
        <v>231</v>
      </c>
      <c r="AN19" s="10">
        <v>232</v>
      </c>
      <c r="AO19" s="10">
        <v>232</v>
      </c>
      <c r="AP19" s="10">
        <v>232</v>
      </c>
      <c r="AQ19" s="10">
        <v>232</v>
      </c>
      <c r="AR19" s="10">
        <v>232</v>
      </c>
      <c r="AS19" s="10">
        <v>233</v>
      </c>
      <c r="AT19" s="10">
        <v>234</v>
      </c>
      <c r="AU19" s="10">
        <v>235</v>
      </c>
      <c r="AV19" s="10">
        <v>235</v>
      </c>
      <c r="AW19" s="10">
        <v>235</v>
      </c>
      <c r="AX19" s="10">
        <v>236</v>
      </c>
      <c r="AY19" s="10">
        <v>236</v>
      </c>
      <c r="AZ19" s="10">
        <v>235</v>
      </c>
      <c r="BA19" s="10">
        <v>235</v>
      </c>
      <c r="BB19" s="10">
        <v>235</v>
      </c>
      <c r="BC19" s="10">
        <v>235</v>
      </c>
      <c r="BD19" s="10">
        <v>235</v>
      </c>
      <c r="BE19" s="10">
        <v>236</v>
      </c>
      <c r="BF19" s="10">
        <v>236</v>
      </c>
      <c r="BG19" s="10">
        <v>236</v>
      </c>
      <c r="BH19" s="10">
        <v>237</v>
      </c>
      <c r="BI19" s="10">
        <v>239</v>
      </c>
      <c r="BJ19" s="10">
        <v>239</v>
      </c>
      <c r="BK19" s="10">
        <v>239</v>
      </c>
      <c r="BL19" s="10">
        <v>240</v>
      </c>
      <c r="BM19" s="10">
        <v>240</v>
      </c>
      <c r="BN19" s="10">
        <v>241</v>
      </c>
      <c r="BO19" s="10">
        <v>243</v>
      </c>
      <c r="BP19" s="10">
        <v>244</v>
      </c>
      <c r="BQ19" s="10">
        <v>244</v>
      </c>
      <c r="BR19" s="10">
        <v>243</v>
      </c>
      <c r="BS19" s="10">
        <v>243</v>
      </c>
      <c r="BT19" s="10">
        <v>243</v>
      </c>
      <c r="BU19" s="10">
        <v>240</v>
      </c>
      <c r="BV19" s="10">
        <v>240</v>
      </c>
      <c r="BW19" s="10">
        <v>237</v>
      </c>
      <c r="BX19" s="10">
        <v>238</v>
      </c>
      <c r="BY19" s="10">
        <v>238</v>
      </c>
      <c r="BZ19" s="10">
        <v>239</v>
      </c>
      <c r="CA19" s="10">
        <v>239</v>
      </c>
      <c r="CB19" s="10">
        <v>239</v>
      </c>
      <c r="CC19" s="10">
        <v>239</v>
      </c>
      <c r="CD19" s="10">
        <v>239</v>
      </c>
      <c r="CE19" s="10">
        <v>239</v>
      </c>
      <c r="CF19" s="10">
        <v>239</v>
      </c>
      <c r="CG19" s="10">
        <v>237</v>
      </c>
      <c r="CH19" s="10">
        <v>238</v>
      </c>
      <c r="CI19" s="10">
        <v>238</v>
      </c>
      <c r="CJ19" s="10">
        <v>237</v>
      </c>
      <c r="CK19" s="10">
        <v>237</v>
      </c>
      <c r="CL19" s="10">
        <v>237</v>
      </c>
      <c r="CM19" s="10">
        <v>237</v>
      </c>
      <c r="CN19" s="10">
        <v>238</v>
      </c>
      <c r="CO19" s="10">
        <v>238</v>
      </c>
      <c r="CP19" s="10">
        <v>237</v>
      </c>
      <c r="CQ19" s="10">
        <v>237</v>
      </c>
      <c r="CR19" s="10">
        <v>238</v>
      </c>
      <c r="CS19" s="10">
        <v>239</v>
      </c>
      <c r="CT19" s="10">
        <v>240</v>
      </c>
      <c r="CU19" s="10">
        <v>238</v>
      </c>
      <c r="CV19" s="10">
        <v>238</v>
      </c>
      <c r="CW19" s="10">
        <v>237</v>
      </c>
      <c r="CX19" s="10">
        <v>237</v>
      </c>
      <c r="CY19" s="10">
        <v>237</v>
      </c>
      <c r="CZ19" s="10">
        <v>237</v>
      </c>
      <c r="DA19" s="10">
        <v>237</v>
      </c>
      <c r="DB19" s="10">
        <v>237</v>
      </c>
      <c r="DC19" s="10">
        <v>237</v>
      </c>
      <c r="DD19" s="10">
        <v>238</v>
      </c>
      <c r="DE19" s="10">
        <v>238</v>
      </c>
      <c r="DF19" s="10">
        <v>239</v>
      </c>
      <c r="DG19" s="10">
        <v>240</v>
      </c>
      <c r="DH19" s="10">
        <v>239</v>
      </c>
      <c r="DI19" s="10">
        <v>240</v>
      </c>
      <c r="DJ19" s="10">
        <v>242</v>
      </c>
      <c r="DK19" s="10">
        <v>242</v>
      </c>
      <c r="DL19" s="10">
        <v>241</v>
      </c>
      <c r="DM19" s="10">
        <v>240</v>
      </c>
      <c r="DN19" s="10">
        <v>240</v>
      </c>
      <c r="DO19" s="10">
        <v>239</v>
      </c>
      <c r="DP19" s="10">
        <v>238</v>
      </c>
      <c r="DQ19" s="10">
        <v>238</v>
      </c>
      <c r="DR19" s="10">
        <v>238</v>
      </c>
      <c r="DS19" s="10">
        <v>238</v>
      </c>
      <c r="DT19" s="10">
        <v>239</v>
      </c>
      <c r="DU19" s="10">
        <v>240</v>
      </c>
      <c r="DV19" s="10">
        <v>240</v>
      </c>
      <c r="DW19" s="11">
        <v>240</v>
      </c>
      <c r="DX19" s="10">
        <v>240</v>
      </c>
      <c r="DY19" s="10">
        <v>239</v>
      </c>
      <c r="DZ19" s="10">
        <v>240</v>
      </c>
      <c r="EA19" s="10">
        <v>241</v>
      </c>
      <c r="EB19" s="10">
        <v>244</v>
      </c>
      <c r="EC19" s="10">
        <v>244</v>
      </c>
      <c r="ED19" s="10">
        <v>245</v>
      </c>
      <c r="EE19" s="10">
        <v>244</v>
      </c>
      <c r="EF19" s="10">
        <v>241</v>
      </c>
      <c r="EG19" s="10">
        <v>241</v>
      </c>
      <c r="EH19" s="10">
        <v>241</v>
      </c>
      <c r="EI19" s="10">
        <v>241</v>
      </c>
      <c r="EJ19" s="10">
        <v>238</v>
      </c>
      <c r="EK19" s="10">
        <v>238</v>
      </c>
      <c r="EL19" s="10">
        <v>240</v>
      </c>
      <c r="EM19" s="10">
        <v>240</v>
      </c>
      <c r="EN19" s="10">
        <v>241</v>
      </c>
      <c r="EO19" s="10">
        <v>242</v>
      </c>
      <c r="EP19" s="10">
        <v>241</v>
      </c>
      <c r="EQ19" s="10">
        <v>241</v>
      </c>
      <c r="ER19" s="10">
        <v>241</v>
      </c>
      <c r="ES19" s="10">
        <v>242</v>
      </c>
      <c r="ET19" s="10">
        <v>242</v>
      </c>
      <c r="EU19" s="10">
        <v>243</v>
      </c>
      <c r="EV19" s="10">
        <v>241</v>
      </c>
      <c r="EW19" s="10">
        <v>240</v>
      </c>
      <c r="EX19" s="10">
        <v>237</v>
      </c>
      <c r="EY19" s="10">
        <v>237</v>
      </c>
      <c r="EZ19" s="10">
        <v>237</v>
      </c>
      <c r="FA19" s="10">
        <v>239</v>
      </c>
      <c r="FB19" s="10">
        <v>237</v>
      </c>
      <c r="FC19" s="10">
        <v>237</v>
      </c>
      <c r="FD19" s="10">
        <v>235</v>
      </c>
      <c r="FE19" s="10">
        <v>235</v>
      </c>
      <c r="FF19" s="10">
        <v>236</v>
      </c>
      <c r="FG19" s="17">
        <v>236</v>
      </c>
      <c r="FH19" s="14">
        <v>236</v>
      </c>
      <c r="FI19" s="14">
        <v>236</v>
      </c>
      <c r="FJ19" s="14">
        <v>236</v>
      </c>
      <c r="FK19" s="11">
        <v>236</v>
      </c>
      <c r="FL19" s="11">
        <v>237</v>
      </c>
      <c r="FM19" s="14">
        <v>237</v>
      </c>
      <c r="FN19" s="10">
        <v>237</v>
      </c>
      <c r="FO19" s="10">
        <v>237</v>
      </c>
      <c r="FP19" s="10">
        <v>237</v>
      </c>
      <c r="FQ19" s="10">
        <v>237</v>
      </c>
      <c r="FR19" s="10">
        <v>237</v>
      </c>
      <c r="FS19" s="10">
        <v>237</v>
      </c>
      <c r="FT19" s="10">
        <v>237</v>
      </c>
      <c r="FU19" s="10">
        <v>237</v>
      </c>
      <c r="FV19" s="10">
        <v>237</v>
      </c>
      <c r="FW19" s="10">
        <v>236</v>
      </c>
      <c r="FX19" s="10">
        <v>235</v>
      </c>
      <c r="FY19" s="10">
        <v>235</v>
      </c>
      <c r="FZ19" s="10">
        <v>235</v>
      </c>
      <c r="GA19" s="10">
        <v>235</v>
      </c>
      <c r="GB19" s="10">
        <v>236</v>
      </c>
      <c r="GC19" s="10">
        <v>234</v>
      </c>
      <c r="GD19" s="10">
        <v>234</v>
      </c>
      <c r="GE19" s="10">
        <v>233</v>
      </c>
      <c r="GF19" s="10">
        <v>234</v>
      </c>
      <c r="GG19" s="10">
        <v>234</v>
      </c>
      <c r="GH19" s="10">
        <v>234</v>
      </c>
      <c r="GI19" s="10">
        <v>234</v>
      </c>
      <c r="GJ19" s="10">
        <v>234</v>
      </c>
      <c r="GK19" s="10">
        <v>235</v>
      </c>
      <c r="GL19" s="10">
        <v>236</v>
      </c>
      <c r="GM19" s="10">
        <v>236</v>
      </c>
      <c r="GN19" s="10">
        <v>235</v>
      </c>
      <c r="GO19" s="10">
        <v>235</v>
      </c>
      <c r="GP19" s="10">
        <v>234</v>
      </c>
      <c r="GQ19" s="10">
        <v>234</v>
      </c>
      <c r="GR19" s="10">
        <v>232</v>
      </c>
      <c r="GS19" s="10">
        <v>232</v>
      </c>
      <c r="GT19" s="10">
        <v>231</v>
      </c>
      <c r="GU19" s="10">
        <v>231</v>
      </c>
      <c r="GV19" s="10">
        <v>231</v>
      </c>
      <c r="GW19" s="10">
        <v>232</v>
      </c>
      <c r="GX19" s="10">
        <v>231</v>
      </c>
      <c r="GY19" s="10">
        <v>231</v>
      </c>
      <c r="GZ19" s="10">
        <v>232</v>
      </c>
      <c r="HA19" s="10">
        <v>233</v>
      </c>
      <c r="HB19" s="10">
        <v>234</v>
      </c>
      <c r="HC19" s="10">
        <v>235</v>
      </c>
      <c r="HD19" s="10">
        <v>235</v>
      </c>
      <c r="HE19" s="10">
        <v>237</v>
      </c>
      <c r="HF19" s="10">
        <v>237</v>
      </c>
      <c r="HG19" s="10">
        <v>239</v>
      </c>
      <c r="HH19" s="10">
        <v>240</v>
      </c>
      <c r="HI19" s="10">
        <v>241</v>
      </c>
      <c r="HJ19" s="10">
        <v>243</v>
      </c>
      <c r="HK19" s="10">
        <v>244</v>
      </c>
      <c r="HL19" s="10">
        <v>246</v>
      </c>
      <c r="HM19" s="10">
        <v>247</v>
      </c>
      <c r="HN19" s="10">
        <v>250</v>
      </c>
      <c r="HO19" s="10">
        <v>259</v>
      </c>
      <c r="HP19" s="10">
        <v>264</v>
      </c>
      <c r="HQ19" s="10">
        <v>266</v>
      </c>
      <c r="HR19" s="10">
        <v>267</v>
      </c>
      <c r="HS19" s="10">
        <v>269</v>
      </c>
      <c r="HT19" s="10">
        <v>272</v>
      </c>
      <c r="HU19" s="10">
        <v>272</v>
      </c>
      <c r="HV19" s="10">
        <v>276</v>
      </c>
      <c r="HW19" s="10">
        <v>277</v>
      </c>
      <c r="HX19" s="10">
        <v>278</v>
      </c>
      <c r="HY19" s="10">
        <v>279</v>
      </c>
      <c r="HZ19" s="10">
        <v>281</v>
      </c>
      <c r="IA19" s="10">
        <v>284</v>
      </c>
      <c r="IB19" s="10">
        <v>285</v>
      </c>
      <c r="IC19" s="10">
        <v>285</v>
      </c>
      <c r="ID19" s="10">
        <v>287</v>
      </c>
      <c r="IE19" s="10">
        <v>287</v>
      </c>
      <c r="IF19" s="10">
        <v>287</v>
      </c>
      <c r="IG19" s="10">
        <v>287</v>
      </c>
      <c r="IH19" s="18">
        <v>287</v>
      </c>
      <c r="II19" s="18">
        <v>287</v>
      </c>
      <c r="IJ19" s="18">
        <v>287</v>
      </c>
      <c r="IK19" s="10">
        <v>286</v>
      </c>
      <c r="IL19" s="10">
        <v>287</v>
      </c>
      <c r="IM19" s="10">
        <v>287</v>
      </c>
      <c r="IN19" s="10">
        <v>288</v>
      </c>
      <c r="IO19" s="10">
        <v>288</v>
      </c>
      <c r="IP19" s="10">
        <v>288</v>
      </c>
      <c r="IQ19" s="10">
        <v>288</v>
      </c>
      <c r="IR19" s="10">
        <v>288</v>
      </c>
      <c r="IS19" s="10">
        <v>289</v>
      </c>
      <c r="IT19" s="10">
        <v>290</v>
      </c>
      <c r="IU19" s="10">
        <v>291</v>
      </c>
      <c r="IV19" s="10">
        <v>293</v>
      </c>
      <c r="IW19" s="10">
        <v>293</v>
      </c>
      <c r="IX19" s="10">
        <v>293</v>
      </c>
      <c r="IY19" s="10">
        <v>294</v>
      </c>
      <c r="IZ19" s="10">
        <v>295</v>
      </c>
      <c r="JA19" s="14">
        <v>295</v>
      </c>
      <c r="JB19" s="10">
        <v>293</v>
      </c>
      <c r="JC19" s="10">
        <v>292</v>
      </c>
      <c r="JD19" s="10">
        <v>293</v>
      </c>
      <c r="JE19" s="10">
        <v>294</v>
      </c>
      <c r="JF19" s="10">
        <v>294</v>
      </c>
      <c r="JG19" s="10">
        <v>295</v>
      </c>
      <c r="JH19" s="10">
        <v>296</v>
      </c>
      <c r="JI19" s="10">
        <v>297</v>
      </c>
      <c r="JJ19" s="10">
        <v>297</v>
      </c>
      <c r="JK19" s="10">
        <v>297</v>
      </c>
      <c r="JL19" s="10">
        <v>297</v>
      </c>
      <c r="JM19" s="10">
        <v>296</v>
      </c>
      <c r="JN19" s="10">
        <v>296</v>
      </c>
      <c r="JO19" s="10">
        <v>294</v>
      </c>
      <c r="JP19" s="10">
        <v>294</v>
      </c>
      <c r="JQ19" s="10">
        <v>294</v>
      </c>
      <c r="JR19" s="10">
        <v>295</v>
      </c>
      <c r="JS19" s="10">
        <v>295</v>
      </c>
      <c r="JT19" s="10">
        <v>294</v>
      </c>
      <c r="JU19" s="10">
        <v>294</v>
      </c>
      <c r="JV19" s="10">
        <v>294</v>
      </c>
      <c r="JW19" s="51">
        <v>294</v>
      </c>
      <c r="JX19" s="58">
        <v>294</v>
      </c>
      <c r="JY19" s="58">
        <v>295</v>
      </c>
      <c r="JZ19" s="58">
        <v>295</v>
      </c>
      <c r="KA19" s="58">
        <v>295</v>
      </c>
      <c r="KB19" s="58">
        <v>294</v>
      </c>
      <c r="KC19" s="58">
        <v>295</v>
      </c>
      <c r="KD19" s="58">
        <v>295</v>
      </c>
      <c r="KE19" s="58">
        <v>295</v>
      </c>
      <c r="KF19" s="58">
        <v>295</v>
      </c>
      <c r="KG19" s="58">
        <v>295</v>
      </c>
      <c r="KH19" s="58">
        <v>296</v>
      </c>
      <c r="KI19" s="58">
        <v>296</v>
      </c>
      <c r="KJ19" s="58">
        <v>295</v>
      </c>
      <c r="KK19" s="58">
        <v>295</v>
      </c>
      <c r="KL19" s="82">
        <v>295</v>
      </c>
      <c r="KM19" s="92">
        <v>295</v>
      </c>
      <c r="KN19" s="92">
        <v>296</v>
      </c>
      <c r="KO19" s="92">
        <v>296</v>
      </c>
      <c r="KP19" s="92">
        <v>298</v>
      </c>
      <c r="KQ19" s="92">
        <v>299</v>
      </c>
      <c r="KR19" s="92">
        <v>299</v>
      </c>
      <c r="KS19" s="92">
        <v>299</v>
      </c>
      <c r="KT19" s="92">
        <v>299</v>
      </c>
      <c r="KU19" s="92">
        <v>298</v>
      </c>
      <c r="KV19" s="92">
        <v>297</v>
      </c>
      <c r="KW19" s="92">
        <v>297</v>
      </c>
      <c r="KX19" s="92">
        <v>297</v>
      </c>
      <c r="KY19" s="92">
        <v>297</v>
      </c>
      <c r="KZ19" s="92">
        <v>297</v>
      </c>
      <c r="LA19" s="106">
        <v>297</v>
      </c>
      <c r="LB19" s="92">
        <v>297</v>
      </c>
      <c r="LC19" s="92">
        <v>297</v>
      </c>
      <c r="LD19" s="92">
        <v>297</v>
      </c>
      <c r="LE19" s="92">
        <v>296</v>
      </c>
      <c r="LF19" s="92">
        <v>291</v>
      </c>
      <c r="LG19" s="92">
        <v>291</v>
      </c>
      <c r="LH19" s="92">
        <v>290</v>
      </c>
      <c r="LI19" s="92">
        <v>290</v>
      </c>
      <c r="LJ19" s="92">
        <v>290</v>
      </c>
      <c r="LK19" s="92">
        <v>290</v>
      </c>
      <c r="LL19" s="92">
        <v>289</v>
      </c>
      <c r="LM19" s="92">
        <v>289</v>
      </c>
      <c r="LN19" s="92">
        <v>289</v>
      </c>
      <c r="LO19" s="92">
        <v>290</v>
      </c>
      <c r="LP19" s="92">
        <v>289</v>
      </c>
      <c r="LQ19" s="218"/>
      <c r="LR19" s="92">
        <v>289</v>
      </c>
      <c r="LS19" s="92">
        <v>289</v>
      </c>
      <c r="LT19" s="110">
        <v>287</v>
      </c>
      <c r="LU19" s="1">
        <v>286</v>
      </c>
      <c r="LV19" s="122">
        <v>285</v>
      </c>
      <c r="LW19" s="92">
        <v>285</v>
      </c>
      <c r="LX19" s="92">
        <v>285</v>
      </c>
      <c r="LY19" s="92">
        <v>283</v>
      </c>
      <c r="LZ19" s="92">
        <v>283</v>
      </c>
      <c r="MA19" s="92">
        <v>283</v>
      </c>
      <c r="MB19" s="92">
        <v>282</v>
      </c>
      <c r="MC19" s="92">
        <v>283</v>
      </c>
      <c r="MD19" s="92">
        <v>284</v>
      </c>
      <c r="ME19" s="92">
        <v>285</v>
      </c>
      <c r="MF19" s="92">
        <v>285</v>
      </c>
      <c r="MG19" s="92">
        <v>287</v>
      </c>
      <c r="MH19" s="92">
        <v>287</v>
      </c>
      <c r="MI19" s="92">
        <v>288</v>
      </c>
      <c r="MJ19" s="92">
        <v>290</v>
      </c>
      <c r="MK19" s="92">
        <v>296</v>
      </c>
      <c r="ML19" s="1">
        <v>297</v>
      </c>
      <c r="MM19" s="92">
        <v>298</v>
      </c>
      <c r="MN19" s="139">
        <v>296</v>
      </c>
      <c r="MO19" s="92">
        <v>294</v>
      </c>
      <c r="MP19" s="92">
        <v>294</v>
      </c>
      <c r="MQ19" s="92">
        <v>295</v>
      </c>
      <c r="MR19" s="148">
        <v>294</v>
      </c>
      <c r="MS19" s="149">
        <v>294</v>
      </c>
      <c r="MT19" s="149">
        <v>294</v>
      </c>
      <c r="MU19" s="149">
        <v>292</v>
      </c>
      <c r="MV19" s="149">
        <v>292</v>
      </c>
      <c r="MW19" s="150">
        <v>290</v>
      </c>
      <c r="MX19" s="92">
        <v>290</v>
      </c>
      <c r="MY19" s="92">
        <v>289</v>
      </c>
      <c r="MZ19" s="92">
        <v>289</v>
      </c>
      <c r="NA19" s="92">
        <v>289</v>
      </c>
      <c r="NB19" s="92">
        <v>289</v>
      </c>
      <c r="NC19" s="106">
        <v>289</v>
      </c>
      <c r="ND19" s="92">
        <v>289</v>
      </c>
      <c r="NE19" s="92">
        <v>290</v>
      </c>
      <c r="NF19" s="92">
        <v>291</v>
      </c>
      <c r="NG19" s="1">
        <v>290</v>
      </c>
      <c r="NH19" s="177">
        <v>290</v>
      </c>
      <c r="NI19" s="1">
        <v>290</v>
      </c>
      <c r="NJ19" s="92">
        <v>286</v>
      </c>
      <c r="NK19" s="92">
        <v>286</v>
      </c>
      <c r="NL19" s="92">
        <v>284</v>
      </c>
      <c r="NM19" s="148">
        <v>284</v>
      </c>
      <c r="NN19" s="149">
        <v>284</v>
      </c>
      <c r="NO19" s="185">
        <v>284</v>
      </c>
      <c r="NP19" s="149">
        <v>285</v>
      </c>
      <c r="NQ19" s="149">
        <v>286</v>
      </c>
      <c r="NR19" s="185">
        <v>284</v>
      </c>
      <c r="NS19" s="149">
        <v>284</v>
      </c>
      <c r="NT19" s="149">
        <v>284</v>
      </c>
      <c r="NU19" s="150">
        <v>284</v>
      </c>
      <c r="NV19" s="1">
        <v>284</v>
      </c>
      <c r="NW19" s="1">
        <v>284</v>
      </c>
      <c r="NX19" s="1">
        <v>284</v>
      </c>
      <c r="NY19" s="1">
        <v>285</v>
      </c>
      <c r="NZ19" s="1">
        <v>286</v>
      </c>
      <c r="OA19" s="1">
        <v>286</v>
      </c>
      <c r="OB19" s="1">
        <v>286</v>
      </c>
      <c r="OC19" s="1">
        <v>286</v>
      </c>
      <c r="OD19" s="1">
        <v>286</v>
      </c>
      <c r="OE19" s="1">
        <v>284</v>
      </c>
      <c r="OF19" s="1">
        <v>284</v>
      </c>
      <c r="OG19" s="139">
        <v>285</v>
      </c>
    </row>
    <row r="20" spans="1:397" s="4" customFormat="1" ht="15" customHeight="1" x14ac:dyDescent="0.25">
      <c r="A20" s="66" t="s">
        <v>13</v>
      </c>
      <c r="B20" s="12">
        <v>565.65</v>
      </c>
      <c r="C20" s="12">
        <v>564.37</v>
      </c>
      <c r="D20" s="12">
        <v>572.83000000000004</v>
      </c>
      <c r="E20" s="12">
        <v>541.85</v>
      </c>
      <c r="F20" s="12">
        <v>558.99</v>
      </c>
      <c r="G20" s="12">
        <v>613.54999999999995</v>
      </c>
      <c r="H20" s="12">
        <v>724.79</v>
      </c>
      <c r="I20" s="12">
        <v>738.55</v>
      </c>
      <c r="J20" s="12">
        <v>730.82</v>
      </c>
      <c r="K20" s="12">
        <v>807.02</v>
      </c>
      <c r="L20" s="12">
        <v>952.54</v>
      </c>
      <c r="M20" s="12">
        <v>978.97</v>
      </c>
      <c r="N20" s="12">
        <v>1127.17</v>
      </c>
      <c r="O20" s="12">
        <v>1375.12</v>
      </c>
      <c r="P20" s="12">
        <v>1190.33</v>
      </c>
      <c r="Q20" s="12">
        <v>1050.8499999999999</v>
      </c>
      <c r="R20" s="12">
        <v>1014.93</v>
      </c>
      <c r="S20" s="12">
        <v>981.73</v>
      </c>
      <c r="T20" s="12">
        <v>976.47</v>
      </c>
      <c r="U20" s="12">
        <v>1048.58</v>
      </c>
      <c r="V20" s="12">
        <v>1143.23</v>
      </c>
      <c r="W20" s="12">
        <v>1093.6500000000001</v>
      </c>
      <c r="X20" s="12">
        <v>1079.03</v>
      </c>
      <c r="Y20" s="12">
        <v>986.73</v>
      </c>
      <c r="Z20" s="12">
        <v>959.98</v>
      </c>
      <c r="AA20" s="12">
        <v>812.42</v>
      </c>
      <c r="AB20" s="12">
        <v>834.88</v>
      </c>
      <c r="AC20" s="12">
        <v>745.14</v>
      </c>
      <c r="AD20" s="12">
        <v>693.8</v>
      </c>
      <c r="AE20" s="12">
        <v>739.07</v>
      </c>
      <c r="AF20" s="12">
        <v>744.45</v>
      </c>
      <c r="AG20" s="12">
        <v>721.09</v>
      </c>
      <c r="AH20" s="12">
        <v>654.83000000000004</v>
      </c>
      <c r="AI20" s="12">
        <v>655.16</v>
      </c>
      <c r="AJ20" s="12">
        <v>655.87</v>
      </c>
      <c r="AK20" s="12">
        <v>663.73</v>
      </c>
      <c r="AL20" s="12">
        <v>666.6</v>
      </c>
      <c r="AM20" s="12">
        <v>671.02</v>
      </c>
      <c r="AN20" s="12">
        <v>677.17</v>
      </c>
      <c r="AO20" s="12">
        <v>650.89</v>
      </c>
      <c r="AP20" s="12">
        <v>647.52</v>
      </c>
      <c r="AQ20" s="12">
        <v>594.47</v>
      </c>
      <c r="AR20" s="12">
        <v>555.16</v>
      </c>
      <c r="AS20" s="12">
        <v>559.24</v>
      </c>
      <c r="AT20" s="12">
        <v>580.70000000000005</v>
      </c>
      <c r="AU20" s="12">
        <v>608.49</v>
      </c>
      <c r="AV20" s="12">
        <v>606.87</v>
      </c>
      <c r="AW20" s="12">
        <v>602.97</v>
      </c>
      <c r="AX20" s="12">
        <v>621.63</v>
      </c>
      <c r="AY20" s="12">
        <v>620.5</v>
      </c>
      <c r="AZ20" s="12">
        <v>637.5</v>
      </c>
      <c r="BA20" s="12">
        <v>739.6</v>
      </c>
      <c r="BB20" s="12">
        <v>732</v>
      </c>
      <c r="BC20" s="12">
        <v>791.9</v>
      </c>
      <c r="BD20" s="12">
        <v>869.7</v>
      </c>
      <c r="BE20" s="12">
        <v>814.8</v>
      </c>
      <c r="BF20" s="12">
        <v>779.9</v>
      </c>
      <c r="BG20" s="12">
        <v>728.5</v>
      </c>
      <c r="BH20" s="12">
        <v>671.4</v>
      </c>
      <c r="BI20" s="12">
        <v>702.2</v>
      </c>
      <c r="BJ20" s="12">
        <v>662.1</v>
      </c>
      <c r="BK20" s="12">
        <v>694.9</v>
      </c>
      <c r="BL20" s="12">
        <v>712.8</v>
      </c>
      <c r="BM20" s="12">
        <v>782</v>
      </c>
      <c r="BN20" s="12">
        <v>682.3</v>
      </c>
      <c r="BO20" s="12">
        <v>580.9</v>
      </c>
      <c r="BP20" s="12">
        <v>596.29999999999995</v>
      </c>
      <c r="BQ20" s="12">
        <v>496</v>
      </c>
      <c r="BR20" s="12">
        <v>499.1</v>
      </c>
      <c r="BS20" s="12">
        <v>498.9</v>
      </c>
      <c r="BT20" s="12">
        <v>575.29999999999995</v>
      </c>
      <c r="BU20" s="12">
        <v>597.29999999999995</v>
      </c>
      <c r="BV20" s="12">
        <v>572.70000000000005</v>
      </c>
      <c r="BW20" s="12">
        <v>569.1</v>
      </c>
      <c r="BX20" s="12">
        <v>534.6</v>
      </c>
      <c r="BY20" s="12">
        <v>548.70000000000005</v>
      </c>
      <c r="BZ20" s="12">
        <v>546.79999999999995</v>
      </c>
      <c r="CA20" s="12">
        <v>517.6</v>
      </c>
      <c r="CB20" s="12">
        <v>571.1</v>
      </c>
      <c r="CC20" s="12">
        <v>561.4</v>
      </c>
      <c r="CD20" s="12">
        <v>568.70000000000005</v>
      </c>
      <c r="CE20" s="12">
        <v>531.29999999999995</v>
      </c>
      <c r="CF20" s="12">
        <v>554.5</v>
      </c>
      <c r="CG20" s="12">
        <v>572.5</v>
      </c>
      <c r="CH20" s="12">
        <v>555.5</v>
      </c>
      <c r="CI20" s="12">
        <v>541.5</v>
      </c>
      <c r="CJ20" s="12">
        <v>494.5</v>
      </c>
      <c r="CK20" s="12">
        <v>476.5</v>
      </c>
      <c r="CL20" s="12">
        <v>478.5</v>
      </c>
      <c r="CM20" s="12">
        <v>513.6</v>
      </c>
      <c r="CN20" s="12">
        <v>510.7</v>
      </c>
      <c r="CO20" s="12">
        <v>496.7</v>
      </c>
      <c r="CP20" s="12">
        <v>523.29999999999995</v>
      </c>
      <c r="CQ20" s="12">
        <v>494</v>
      </c>
      <c r="CR20" s="12">
        <v>434.3</v>
      </c>
      <c r="CS20" s="12">
        <v>447.6</v>
      </c>
      <c r="CT20" s="12">
        <v>439.5</v>
      </c>
      <c r="CU20" s="12">
        <v>442.2</v>
      </c>
      <c r="CV20" s="12">
        <v>423.6</v>
      </c>
      <c r="CW20" s="12">
        <v>416.4</v>
      </c>
      <c r="CX20" s="12">
        <v>420.8</v>
      </c>
      <c r="CY20" s="12">
        <v>428</v>
      </c>
      <c r="CZ20" s="12">
        <v>418.3</v>
      </c>
      <c r="DA20" s="12">
        <v>407.3</v>
      </c>
      <c r="DB20" s="12">
        <v>403.6</v>
      </c>
      <c r="DC20" s="12">
        <v>505.6</v>
      </c>
      <c r="DD20" s="12">
        <v>537.5</v>
      </c>
      <c r="DE20" s="12">
        <v>621</v>
      </c>
      <c r="DF20" s="12">
        <v>562.20000000000005</v>
      </c>
      <c r="DG20" s="12">
        <v>603.9</v>
      </c>
      <c r="DH20" s="12">
        <v>617.6</v>
      </c>
      <c r="DI20" s="12">
        <v>617.20000000000005</v>
      </c>
      <c r="DJ20" s="12">
        <v>684.7</v>
      </c>
      <c r="DK20" s="12">
        <v>711.4</v>
      </c>
      <c r="DL20" s="12">
        <v>700</v>
      </c>
      <c r="DM20" s="12">
        <v>752.1</v>
      </c>
      <c r="DN20" s="12">
        <v>856.5</v>
      </c>
      <c r="DO20" s="12">
        <v>820.3</v>
      </c>
      <c r="DP20" s="12">
        <v>802.4</v>
      </c>
      <c r="DQ20" s="12">
        <v>815.1</v>
      </c>
      <c r="DR20" s="12">
        <v>793.5</v>
      </c>
      <c r="DS20" s="12">
        <v>748.5</v>
      </c>
      <c r="DT20" s="12">
        <v>739</v>
      </c>
      <c r="DU20" s="12">
        <v>824.4</v>
      </c>
      <c r="DV20" s="12">
        <v>858.7</v>
      </c>
      <c r="DW20" s="12">
        <v>1048.9000000000001</v>
      </c>
      <c r="DX20" s="12">
        <v>1045.8</v>
      </c>
      <c r="DY20" s="12">
        <v>1082.5999999999999</v>
      </c>
      <c r="DZ20" s="12">
        <v>1292.4000000000001</v>
      </c>
      <c r="EA20" s="12">
        <v>1416.4</v>
      </c>
      <c r="EB20" s="12">
        <v>1206.3</v>
      </c>
      <c r="EC20" s="12">
        <v>1062.0999999999999</v>
      </c>
      <c r="ED20" s="12">
        <v>1211.0999999999999</v>
      </c>
      <c r="EE20" s="12">
        <v>1224.9000000000001</v>
      </c>
      <c r="EF20" s="12">
        <v>1284.2</v>
      </c>
      <c r="EG20" s="12">
        <v>1212.3</v>
      </c>
      <c r="EH20" s="12">
        <v>1319.3</v>
      </c>
      <c r="EI20" s="12">
        <v>1358.5</v>
      </c>
      <c r="EJ20" s="12">
        <v>1454.4</v>
      </c>
      <c r="EK20" s="12">
        <v>1370.4</v>
      </c>
      <c r="EL20" s="12">
        <v>1450.8</v>
      </c>
      <c r="EM20" s="12">
        <v>1534.4</v>
      </c>
      <c r="EN20" s="12">
        <v>1499.4</v>
      </c>
      <c r="EO20" s="12">
        <v>1506.9</v>
      </c>
      <c r="EP20" s="12">
        <v>1650.7</v>
      </c>
      <c r="EQ20" s="12">
        <v>1715.1</v>
      </c>
      <c r="ER20" s="12">
        <v>1751.9</v>
      </c>
      <c r="ES20" s="12">
        <v>1829.6</v>
      </c>
      <c r="ET20" s="12">
        <v>1936.1</v>
      </c>
      <c r="EU20" s="12">
        <v>1897.8</v>
      </c>
      <c r="EV20" s="12">
        <v>2047.21</v>
      </c>
      <c r="EW20" s="12">
        <v>2145.02</v>
      </c>
      <c r="EX20" s="12">
        <v>2434.4</v>
      </c>
      <c r="EY20" s="12">
        <v>2516.4699999999998</v>
      </c>
      <c r="EZ20" s="12">
        <v>2292.46</v>
      </c>
      <c r="FA20" s="12">
        <v>1922.21</v>
      </c>
      <c r="FB20" s="12">
        <v>2138.9699999999998</v>
      </c>
      <c r="FC20" s="12">
        <v>2212.69</v>
      </c>
      <c r="FD20" s="12">
        <v>2264.4</v>
      </c>
      <c r="FE20" s="12">
        <v>2263.44</v>
      </c>
      <c r="FF20" s="12">
        <v>2203.8200000000002</v>
      </c>
      <c r="FG20" s="12">
        <v>2114.37</v>
      </c>
      <c r="FH20" s="12">
        <v>2196</v>
      </c>
      <c r="FI20" s="22">
        <v>2200</v>
      </c>
      <c r="FJ20" s="12">
        <v>2383.4</v>
      </c>
      <c r="FK20" s="12">
        <v>2454.3000000000002</v>
      </c>
      <c r="FL20" s="12">
        <v>2777.73</v>
      </c>
      <c r="FM20" s="12">
        <v>2722.36</v>
      </c>
      <c r="FN20" s="12">
        <v>2924.25</v>
      </c>
      <c r="FO20" s="12">
        <v>2982.89</v>
      </c>
      <c r="FP20" s="12">
        <v>2789.81</v>
      </c>
      <c r="FQ20" s="12">
        <v>2811.29</v>
      </c>
      <c r="FR20" s="12">
        <v>2508.3000000000002</v>
      </c>
      <c r="FS20" s="12">
        <v>2572.1999999999998</v>
      </c>
      <c r="FT20" s="12">
        <v>2442.1</v>
      </c>
      <c r="FU20" s="12">
        <v>2526.59</v>
      </c>
      <c r="FV20" s="12">
        <v>2556.62</v>
      </c>
      <c r="FW20" s="12">
        <v>2615.23</v>
      </c>
      <c r="FX20" s="12">
        <v>2560.16</v>
      </c>
      <c r="FY20" s="12">
        <v>2540.9899999999998</v>
      </c>
      <c r="FZ20" s="12">
        <v>2446.13</v>
      </c>
      <c r="GA20" s="12">
        <v>2530.86</v>
      </c>
      <c r="GB20" s="12">
        <v>2550.4699999999998</v>
      </c>
      <c r="GC20" s="12">
        <v>2632.96</v>
      </c>
      <c r="GD20" s="12">
        <v>2538.37</v>
      </c>
      <c r="GE20" s="12">
        <v>2457.84</v>
      </c>
      <c r="GF20" s="12">
        <v>2463.41</v>
      </c>
      <c r="GG20" s="12">
        <v>2408.64</v>
      </c>
      <c r="GH20" s="12">
        <v>2142.2600000000002</v>
      </c>
      <c r="GI20" s="12">
        <v>1821.53</v>
      </c>
      <c r="GJ20" s="12">
        <v>1639.94</v>
      </c>
      <c r="GK20" s="12">
        <v>1503.02</v>
      </c>
      <c r="GL20" s="12">
        <v>1821.24</v>
      </c>
      <c r="GM20" s="12">
        <v>1694.14</v>
      </c>
      <c r="GN20" s="12">
        <v>1638.1</v>
      </c>
      <c r="GO20" s="12">
        <v>1838.45</v>
      </c>
      <c r="GP20" s="12">
        <v>2215.96</v>
      </c>
      <c r="GQ20" s="12">
        <v>2432.15</v>
      </c>
      <c r="GR20" s="12">
        <v>2525.6999999999998</v>
      </c>
      <c r="GS20" s="12">
        <v>2607.65</v>
      </c>
      <c r="GT20" s="12">
        <v>2938.64</v>
      </c>
      <c r="GU20" s="12">
        <v>2976.93</v>
      </c>
      <c r="GV20" s="12">
        <v>2913.39</v>
      </c>
      <c r="GW20" s="12">
        <v>3385.55</v>
      </c>
      <c r="GX20" s="12">
        <v>3636.4</v>
      </c>
      <c r="GY20" s="12">
        <v>3807.9</v>
      </c>
      <c r="GZ20" s="12">
        <v>3724.6</v>
      </c>
      <c r="HA20" s="12">
        <v>4188.88</v>
      </c>
      <c r="HB20" s="12">
        <v>4237.16</v>
      </c>
      <c r="HC20" s="12">
        <v>4612.46</v>
      </c>
      <c r="HD20" s="12">
        <v>5161.18</v>
      </c>
      <c r="HE20" s="12">
        <v>5658.01</v>
      </c>
      <c r="HF20" s="12">
        <v>6997.22</v>
      </c>
      <c r="HG20" s="12">
        <v>6678.05</v>
      </c>
      <c r="HH20" s="12">
        <v>6434.85</v>
      </c>
      <c r="HI20" s="12">
        <v>6635.9</v>
      </c>
      <c r="HJ20" s="12">
        <v>7174.87</v>
      </c>
      <c r="HK20" s="12">
        <v>7797.96</v>
      </c>
      <c r="HL20" s="12">
        <v>7226.12</v>
      </c>
      <c r="HM20" s="12">
        <v>7356.97</v>
      </c>
      <c r="HN20" s="12">
        <v>7418.07</v>
      </c>
      <c r="HO20" s="12">
        <v>6825.94</v>
      </c>
      <c r="HP20" s="12">
        <v>6845.38</v>
      </c>
      <c r="HQ20" s="12">
        <v>6879.29</v>
      </c>
      <c r="HR20" s="12">
        <v>6783.55</v>
      </c>
      <c r="HS20" s="12">
        <v>6319.25</v>
      </c>
      <c r="HT20" s="12">
        <v>6087.4</v>
      </c>
      <c r="HU20" s="12">
        <v>6074.42</v>
      </c>
      <c r="HV20" s="12">
        <v>5693.92</v>
      </c>
      <c r="HW20" s="12">
        <v>5458.09</v>
      </c>
      <c r="HX20" s="12">
        <v>5420.2</v>
      </c>
      <c r="HY20" s="12">
        <v>5419.2</v>
      </c>
      <c r="HZ20" s="12">
        <v>4832.1499999999996</v>
      </c>
      <c r="IA20" s="12">
        <v>4965.7700000000004</v>
      </c>
      <c r="IB20" s="12">
        <v>4944.8599999999997</v>
      </c>
      <c r="IC20" s="12">
        <v>5180.1499999999996</v>
      </c>
      <c r="ID20" s="12">
        <v>5971.99</v>
      </c>
      <c r="IE20" s="12">
        <v>5513.64</v>
      </c>
      <c r="IF20" s="12">
        <v>5351.25</v>
      </c>
      <c r="IG20" s="12">
        <v>5643</v>
      </c>
      <c r="IH20" s="12">
        <v>5816.89</v>
      </c>
      <c r="II20" s="12">
        <v>5635.9</v>
      </c>
      <c r="IJ20" s="12">
        <v>5735.68</v>
      </c>
      <c r="IK20" s="12">
        <v>5953.19</v>
      </c>
      <c r="IL20" s="12">
        <v>6463.06</v>
      </c>
      <c r="IM20" s="12">
        <v>6121.01</v>
      </c>
      <c r="IN20" s="12">
        <v>6037.22</v>
      </c>
      <c r="IO20" s="12">
        <v>5834.04</v>
      </c>
      <c r="IP20" s="12">
        <v>5803.32</v>
      </c>
      <c r="IQ20" s="12">
        <v>5954.62</v>
      </c>
      <c r="IR20" s="12">
        <v>5775.09</v>
      </c>
      <c r="IS20" s="12">
        <v>5912.78</v>
      </c>
      <c r="IT20" s="12">
        <v>6248.08</v>
      </c>
      <c r="IU20" s="12">
        <v>5940.31</v>
      </c>
      <c r="IV20" s="12">
        <v>5968.31</v>
      </c>
      <c r="IW20" s="12">
        <v>6223.67</v>
      </c>
      <c r="IX20" s="12">
        <v>6263.46</v>
      </c>
      <c r="IY20" s="12">
        <v>6378.62</v>
      </c>
      <c r="IZ20" s="12">
        <v>6813.9</v>
      </c>
      <c r="JA20" s="12">
        <v>7034.09</v>
      </c>
      <c r="JB20" s="44">
        <v>7252.14</v>
      </c>
      <c r="JC20" s="44">
        <v>7326.81</v>
      </c>
      <c r="JD20" s="44">
        <v>7153.9</v>
      </c>
      <c r="JE20" s="12">
        <v>7298.95</v>
      </c>
      <c r="JF20" s="12">
        <v>7180.05</v>
      </c>
      <c r="JG20" s="12">
        <v>7301.29</v>
      </c>
      <c r="JH20" s="12">
        <v>6820.34</v>
      </c>
      <c r="JI20" s="12">
        <v>7179</v>
      </c>
      <c r="JJ20" s="12">
        <v>7220.29</v>
      </c>
      <c r="JK20" s="12">
        <v>7020.8</v>
      </c>
      <c r="JL20" s="12">
        <v>7332.05</v>
      </c>
      <c r="JM20" s="12">
        <v>7306.94</v>
      </c>
      <c r="JN20" s="12">
        <v>7050.87</v>
      </c>
      <c r="JO20" s="12">
        <v>7042.06</v>
      </c>
      <c r="JP20" s="12">
        <v>6909.15</v>
      </c>
      <c r="JQ20" s="12">
        <v>6894.5</v>
      </c>
      <c r="JR20" s="12">
        <v>6340.05</v>
      </c>
      <c r="JS20" s="12">
        <v>6191.81</v>
      </c>
      <c r="JT20" s="12">
        <v>6071.88</v>
      </c>
      <c r="JU20" s="12">
        <v>6516.26</v>
      </c>
      <c r="JV20" s="12">
        <v>6550.51</v>
      </c>
      <c r="JW20" s="56">
        <v>6283.27</v>
      </c>
      <c r="JX20" s="67">
        <v>6393.87</v>
      </c>
      <c r="JY20" s="67">
        <v>6528.21</v>
      </c>
      <c r="JZ20" s="67">
        <v>6534.77</v>
      </c>
      <c r="KA20" s="67">
        <v>6409.23</v>
      </c>
      <c r="KB20" s="67">
        <v>6241.1</v>
      </c>
      <c r="KC20" s="67">
        <v>6228.26</v>
      </c>
      <c r="KD20" s="67">
        <v>6132.68</v>
      </c>
      <c r="KE20" s="67">
        <v>6134.28</v>
      </c>
      <c r="KF20" s="67">
        <v>6061.94</v>
      </c>
      <c r="KG20" s="67">
        <v>6610.46</v>
      </c>
      <c r="KH20" s="67">
        <v>6674.32</v>
      </c>
      <c r="KI20" s="67">
        <v>6747.07</v>
      </c>
      <c r="KJ20" s="67">
        <v>6637.39</v>
      </c>
      <c r="KK20" s="67">
        <v>6390.74</v>
      </c>
      <c r="KL20" s="88">
        <v>6438.24</v>
      </c>
      <c r="KM20" s="97">
        <v>6617.36</v>
      </c>
      <c r="KN20" s="97">
        <v>6411.84</v>
      </c>
      <c r="KO20" s="97">
        <v>6369.26</v>
      </c>
      <c r="KP20" s="97">
        <v>6476.41</v>
      </c>
      <c r="KQ20" s="97">
        <v>6551.78</v>
      </c>
      <c r="KR20" s="97">
        <v>6476.78</v>
      </c>
      <c r="KS20" s="97">
        <v>6531.06</v>
      </c>
      <c r="KT20" s="97">
        <v>6398.44</v>
      </c>
      <c r="KU20" s="97">
        <v>6194.63</v>
      </c>
      <c r="KV20" s="97">
        <v>6147.27</v>
      </c>
      <c r="KW20" s="97">
        <v>6080.26</v>
      </c>
      <c r="KX20" s="97">
        <v>5862.18</v>
      </c>
      <c r="KY20" s="97">
        <v>5953.47</v>
      </c>
      <c r="KZ20" s="97">
        <v>6019.33</v>
      </c>
      <c r="LA20" s="107">
        <v>6052.37</v>
      </c>
      <c r="LB20" s="97">
        <v>5989.9</v>
      </c>
      <c r="LC20" s="97">
        <v>5816.29</v>
      </c>
      <c r="LD20" s="97">
        <v>5557.24</v>
      </c>
      <c r="LE20" s="97">
        <v>5478.41</v>
      </c>
      <c r="LF20" s="97">
        <v>5310.95</v>
      </c>
      <c r="LG20" s="97">
        <v>5372.28</v>
      </c>
      <c r="LH20" s="97">
        <v>5935.34</v>
      </c>
      <c r="LI20" s="97">
        <v>5889.86</v>
      </c>
      <c r="LJ20" s="97">
        <v>5738.24</v>
      </c>
      <c r="LK20" s="97">
        <v>5990.24</v>
      </c>
      <c r="LL20" s="97">
        <v>6211.97</v>
      </c>
      <c r="LM20" s="97">
        <v>6129.21</v>
      </c>
      <c r="LN20" s="97">
        <v>5929.76</v>
      </c>
      <c r="LO20" s="97">
        <v>5592.92</v>
      </c>
      <c r="LP20" s="97">
        <v>4571.63</v>
      </c>
      <c r="LQ20" s="218"/>
      <c r="LR20" s="97">
        <v>4846.76</v>
      </c>
      <c r="LS20" s="97">
        <v>5149.57</v>
      </c>
      <c r="LT20" s="112">
        <v>5124.26</v>
      </c>
      <c r="LU20" s="4">
        <v>5329.33</v>
      </c>
      <c r="LV20" s="123">
        <v>5984.84</v>
      </c>
      <c r="LW20" s="97">
        <v>5726.59</v>
      </c>
      <c r="LX20" s="97">
        <v>6243.76</v>
      </c>
      <c r="LY20" s="97">
        <v>6774.22</v>
      </c>
      <c r="LZ20" s="97">
        <v>8668.07</v>
      </c>
      <c r="MA20" s="133">
        <v>7476.34</v>
      </c>
      <c r="MB20" s="133">
        <v>7121.28</v>
      </c>
      <c r="MC20" s="97">
        <v>7208.2</v>
      </c>
      <c r="MD20" s="97">
        <v>7403.44</v>
      </c>
      <c r="ME20" s="97">
        <v>7837.76</v>
      </c>
      <c r="MF20" s="97">
        <v>8120.48</v>
      </c>
      <c r="MG20" s="97">
        <v>8997.6</v>
      </c>
      <c r="MH20" s="97">
        <v>9459.94</v>
      </c>
      <c r="MI20" s="97">
        <v>10162.93</v>
      </c>
      <c r="MJ20" s="97">
        <v>11440.53</v>
      </c>
      <c r="MK20" s="97">
        <v>12226.01</v>
      </c>
      <c r="ML20" s="4">
        <v>13009.5</v>
      </c>
      <c r="MM20" s="97">
        <v>11577.94</v>
      </c>
      <c r="MN20" s="141">
        <v>8903.8700000000008</v>
      </c>
      <c r="MO20" s="97">
        <v>7624.26</v>
      </c>
      <c r="MP20" s="97">
        <v>8108.09</v>
      </c>
      <c r="MQ20" s="97">
        <v>7342.33</v>
      </c>
      <c r="MR20" s="154">
        <v>7731.15</v>
      </c>
      <c r="MS20" s="155">
        <v>9071.32</v>
      </c>
      <c r="MT20" s="155">
        <v>9931.07</v>
      </c>
      <c r="MU20" s="155">
        <v>8602.16</v>
      </c>
      <c r="MV20" s="155">
        <v>8651.23</v>
      </c>
      <c r="MW20" s="156">
        <v>8489.66</v>
      </c>
      <c r="MX20" s="97">
        <v>8865.0499999999993</v>
      </c>
      <c r="MY20" s="97">
        <v>9188.48</v>
      </c>
      <c r="MZ20" s="176">
        <v>9301.09</v>
      </c>
      <c r="NA20" s="97">
        <v>8983.2099999999991</v>
      </c>
      <c r="NB20" s="97">
        <v>8555.17</v>
      </c>
      <c r="NC20" s="107">
        <v>9442.9500000000007</v>
      </c>
      <c r="ND20" s="97">
        <v>11386.72</v>
      </c>
      <c r="NE20" s="97">
        <v>11114.17</v>
      </c>
      <c r="NF20" s="97">
        <v>11335.61</v>
      </c>
      <c r="NG20" s="4">
        <v>10647.33</v>
      </c>
      <c r="NH20" s="179">
        <v>10593.9</v>
      </c>
      <c r="NI20" s="183">
        <v>10654.16</v>
      </c>
      <c r="NJ20" s="97">
        <v>10311.15</v>
      </c>
      <c r="NK20" s="97">
        <v>10651.77</v>
      </c>
      <c r="NL20" s="97">
        <v>11444.38</v>
      </c>
      <c r="NM20" s="154">
        <v>12362.95</v>
      </c>
      <c r="NN20" s="155">
        <v>12106.49</v>
      </c>
      <c r="NO20" s="187">
        <v>12144.54</v>
      </c>
      <c r="NP20" s="155">
        <v>11406.56</v>
      </c>
      <c r="NQ20" s="155">
        <v>10869.07</v>
      </c>
      <c r="NR20" s="187">
        <v>11855.05</v>
      </c>
      <c r="NS20" s="155">
        <v>12770.58</v>
      </c>
      <c r="NT20" s="155">
        <v>13188.99</v>
      </c>
      <c r="NU20" s="156">
        <v>15944.61</v>
      </c>
      <c r="NV20" s="4">
        <v>17122.73</v>
      </c>
      <c r="NW20" s="4">
        <v>16478.669999999998</v>
      </c>
      <c r="NX20" s="4">
        <v>15814.82</v>
      </c>
      <c r="NY20" s="4">
        <v>15799.94</v>
      </c>
      <c r="NZ20" s="4">
        <v>16854.86</v>
      </c>
      <c r="OA20" s="4">
        <v>18026.72</v>
      </c>
      <c r="OB20" s="4">
        <v>19642.48</v>
      </c>
      <c r="OC20" s="4">
        <v>20997.360000000001</v>
      </c>
      <c r="OD20" s="4">
        <v>21778.6</v>
      </c>
      <c r="OE20" s="4">
        <v>22804.84</v>
      </c>
      <c r="OF20" s="4">
        <v>22712.82</v>
      </c>
      <c r="OG20" s="141">
        <v>22624.31</v>
      </c>
    </row>
    <row r="21" spans="1:397" s="4" customFormat="1" ht="12" hidden="1" customHeight="1" x14ac:dyDescent="0.25">
      <c r="A21" s="66" t="s">
        <v>14</v>
      </c>
      <c r="B21" s="12">
        <v>762.24</v>
      </c>
      <c r="C21" s="12">
        <v>756.48</v>
      </c>
      <c r="D21" s="12">
        <v>781.7</v>
      </c>
      <c r="E21" s="12">
        <v>755.24</v>
      </c>
      <c r="F21" s="12">
        <v>762.27</v>
      </c>
      <c r="G21" s="12">
        <v>837.62</v>
      </c>
      <c r="H21" s="12">
        <v>960.39</v>
      </c>
      <c r="I21" s="12">
        <v>995.31</v>
      </c>
      <c r="J21" s="12">
        <v>999.42</v>
      </c>
      <c r="K21" s="12">
        <v>1130.6099999999999</v>
      </c>
      <c r="L21" s="12">
        <v>1385.78</v>
      </c>
      <c r="M21" s="12">
        <v>1442.44</v>
      </c>
      <c r="N21" s="12">
        <v>1734.43</v>
      </c>
      <c r="O21" s="12">
        <v>2093.75</v>
      </c>
      <c r="P21" s="12">
        <v>1755.91</v>
      </c>
      <c r="Q21" s="12">
        <v>1555.88</v>
      </c>
      <c r="R21" s="12">
        <v>1479.04</v>
      </c>
      <c r="S21" s="12">
        <v>1458.04</v>
      </c>
      <c r="T21" s="12">
        <v>1455.12</v>
      </c>
      <c r="U21" s="12">
        <v>1537.13</v>
      </c>
      <c r="V21" s="12">
        <v>1682.63</v>
      </c>
      <c r="W21" s="12">
        <v>1600.98</v>
      </c>
      <c r="X21" s="12">
        <v>1589.57</v>
      </c>
      <c r="Y21" s="12">
        <v>1438.82</v>
      </c>
      <c r="Z21" s="12">
        <v>1387.36</v>
      </c>
      <c r="AA21" s="12">
        <v>1160.47</v>
      </c>
      <c r="AB21" s="12">
        <v>1203.31</v>
      </c>
      <c r="AC21" s="12">
        <v>1040.77</v>
      </c>
      <c r="AD21" s="12">
        <v>988.38</v>
      </c>
      <c r="AE21" s="12">
        <v>1091.6400000000001</v>
      </c>
      <c r="AF21" s="12">
        <v>1097.77</v>
      </c>
      <c r="AG21" s="12">
        <v>1060.6099999999999</v>
      </c>
      <c r="AH21" s="12">
        <v>964</v>
      </c>
      <c r="AI21" s="12">
        <v>983.91</v>
      </c>
      <c r="AJ21" s="12">
        <v>964.56</v>
      </c>
      <c r="AK21" s="12">
        <v>990.53</v>
      </c>
      <c r="AL21" s="12">
        <v>1031.5899999999999</v>
      </c>
      <c r="AM21" s="12">
        <v>1056.31</v>
      </c>
      <c r="AN21" s="12">
        <v>1062.33</v>
      </c>
      <c r="AO21" s="12">
        <v>994.12</v>
      </c>
      <c r="AP21" s="12">
        <v>978.37</v>
      </c>
      <c r="AQ21" s="12">
        <v>881.2</v>
      </c>
      <c r="AR21" s="12">
        <v>809.73</v>
      </c>
      <c r="AS21" s="12">
        <v>815.84</v>
      </c>
      <c r="AT21" s="12">
        <v>849.62</v>
      </c>
      <c r="AU21" s="12">
        <v>904.91</v>
      </c>
      <c r="AV21" s="12">
        <v>908.88</v>
      </c>
      <c r="AW21" s="12">
        <v>897.72</v>
      </c>
      <c r="AX21" s="12">
        <v>949.37</v>
      </c>
      <c r="AY21" s="12">
        <v>955.1</v>
      </c>
      <c r="AZ21" s="12">
        <v>977.5</v>
      </c>
      <c r="BA21" s="12">
        <v>1172.9000000000001</v>
      </c>
      <c r="BB21" s="12">
        <v>1142</v>
      </c>
      <c r="BC21" s="12">
        <v>1267</v>
      </c>
      <c r="BD21" s="12">
        <v>1411.2</v>
      </c>
      <c r="BE21" s="12">
        <v>1273.9000000000001</v>
      </c>
      <c r="BF21" s="12">
        <v>1227.2</v>
      </c>
      <c r="BG21" s="12">
        <v>1119.2</v>
      </c>
      <c r="BH21" s="12">
        <v>1024.0999999999999</v>
      </c>
      <c r="BI21" s="12">
        <v>1068</v>
      </c>
      <c r="BJ21" s="12">
        <v>1016.4</v>
      </c>
      <c r="BK21" s="12">
        <v>1075.9000000000001</v>
      </c>
      <c r="BL21" s="12">
        <v>1111.5</v>
      </c>
      <c r="BM21" s="12">
        <v>1236.5999999999999</v>
      </c>
      <c r="BN21" s="12">
        <v>1024.0999999999999</v>
      </c>
      <c r="BO21" s="12">
        <v>842</v>
      </c>
      <c r="BP21" s="12">
        <v>893.5</v>
      </c>
      <c r="BQ21" s="12">
        <v>701</v>
      </c>
      <c r="BR21" s="12">
        <v>710.6</v>
      </c>
      <c r="BS21" s="12">
        <v>723.1</v>
      </c>
      <c r="BT21" s="12">
        <v>881.4</v>
      </c>
      <c r="BU21" s="12">
        <v>923</v>
      </c>
      <c r="BV21" s="12">
        <v>940.3</v>
      </c>
      <c r="BW21" s="12">
        <v>928.3</v>
      </c>
      <c r="BX21" s="12">
        <v>855.6</v>
      </c>
      <c r="BY21" s="12">
        <v>890.1</v>
      </c>
      <c r="BZ21" s="12">
        <v>889.3</v>
      </c>
      <c r="CA21" s="12">
        <v>829.6</v>
      </c>
      <c r="CB21" s="12">
        <v>962.6</v>
      </c>
      <c r="CC21" s="12">
        <v>918.6</v>
      </c>
      <c r="CD21" s="12">
        <v>924.5</v>
      </c>
      <c r="CE21" s="12">
        <v>849.5</v>
      </c>
      <c r="CF21" s="12">
        <v>908.2</v>
      </c>
      <c r="CG21" s="12">
        <v>937.5</v>
      </c>
      <c r="CH21" s="12">
        <v>909.3</v>
      </c>
      <c r="CI21" s="12">
        <v>887</v>
      </c>
      <c r="CJ21" s="12">
        <v>796.1</v>
      </c>
      <c r="CK21" s="12">
        <v>765.1</v>
      </c>
      <c r="CL21" s="12">
        <v>773.6</v>
      </c>
      <c r="CM21" s="12">
        <v>853.2</v>
      </c>
      <c r="CN21" s="12">
        <v>834.9</v>
      </c>
      <c r="CO21" s="12">
        <v>802.6</v>
      </c>
      <c r="CP21" s="12">
        <v>859.3</v>
      </c>
      <c r="CQ21" s="12">
        <v>796.7</v>
      </c>
      <c r="CR21" s="12">
        <v>663.2</v>
      </c>
      <c r="CS21" s="12">
        <v>698.5</v>
      </c>
      <c r="CT21" s="12">
        <v>682.6</v>
      </c>
      <c r="CU21" s="12">
        <v>687.6</v>
      </c>
      <c r="CV21" s="12">
        <v>645.1</v>
      </c>
      <c r="CW21" s="12">
        <v>629.1</v>
      </c>
      <c r="CX21" s="12">
        <v>637</v>
      </c>
      <c r="CY21" s="12">
        <v>641.1</v>
      </c>
      <c r="CZ21" s="12">
        <v>622.79999999999995</v>
      </c>
      <c r="DA21" s="12">
        <v>618.20000000000005</v>
      </c>
      <c r="DB21" s="12">
        <v>607.5</v>
      </c>
      <c r="DC21" s="12">
        <v>835.9</v>
      </c>
      <c r="DD21" s="12">
        <v>878.5</v>
      </c>
      <c r="DE21" s="12">
        <v>1031</v>
      </c>
      <c r="DF21" s="12">
        <v>909.8</v>
      </c>
      <c r="DG21" s="12">
        <v>988.4</v>
      </c>
      <c r="DH21" s="12">
        <v>1006.7</v>
      </c>
      <c r="DI21" s="12">
        <v>1026.2</v>
      </c>
      <c r="DJ21" s="12">
        <v>1177.8</v>
      </c>
      <c r="DK21" s="12">
        <v>1222</v>
      </c>
      <c r="DL21" s="12">
        <v>1214.0999999999999</v>
      </c>
      <c r="DM21" s="12">
        <v>1327.1</v>
      </c>
      <c r="DN21" s="12">
        <v>1463.9</v>
      </c>
      <c r="DO21" s="12">
        <v>1384.3</v>
      </c>
      <c r="DP21" s="12">
        <v>1339.1</v>
      </c>
      <c r="DQ21" s="12">
        <v>1374.6</v>
      </c>
      <c r="DR21" s="12">
        <v>1345.3</v>
      </c>
      <c r="DS21" s="12">
        <v>1245.2</v>
      </c>
      <c r="DT21" s="12">
        <v>1259.5999999999999</v>
      </c>
      <c r="DU21" s="12">
        <v>1427.6</v>
      </c>
      <c r="DV21" s="12">
        <v>1524.3</v>
      </c>
      <c r="DW21" s="12">
        <v>2062.5</v>
      </c>
      <c r="DX21" s="12">
        <v>2026.7</v>
      </c>
      <c r="DY21" s="12">
        <v>2093.5</v>
      </c>
      <c r="DZ21" s="12">
        <v>2394.8000000000002</v>
      </c>
      <c r="EA21" s="12">
        <v>2584.1999999999998</v>
      </c>
      <c r="EB21" s="12">
        <v>2187.9</v>
      </c>
      <c r="EC21" s="12">
        <v>1897.8</v>
      </c>
      <c r="ED21" s="12">
        <v>2169.6999999999998</v>
      </c>
      <c r="EE21" s="12">
        <v>2089.9</v>
      </c>
      <c r="EF21" s="12">
        <v>2021</v>
      </c>
      <c r="EG21" s="12">
        <v>1836.8</v>
      </c>
      <c r="EH21" s="12">
        <v>1988.9</v>
      </c>
      <c r="EI21" s="12">
        <v>2069.1</v>
      </c>
      <c r="EJ21" s="12">
        <v>2192.4</v>
      </c>
      <c r="EK21" s="12">
        <v>2054.6</v>
      </c>
      <c r="EL21" s="12">
        <v>2138.5</v>
      </c>
      <c r="EM21" s="12">
        <v>2194.6</v>
      </c>
      <c r="EN21" s="12">
        <v>2129.4</v>
      </c>
      <c r="EO21" s="12">
        <v>2073.6999999999998</v>
      </c>
      <c r="EP21" s="12">
        <v>2266.6</v>
      </c>
      <c r="EQ21" s="12">
        <v>2329.9</v>
      </c>
      <c r="ER21" s="12">
        <v>2392.1999999999998</v>
      </c>
      <c r="ES21" s="12">
        <v>2575.1999999999998</v>
      </c>
      <c r="ET21" s="12">
        <v>2694.1</v>
      </c>
      <c r="EU21" s="12">
        <v>2681.6</v>
      </c>
      <c r="EV21" s="12">
        <v>2734.35</v>
      </c>
      <c r="EW21" s="12">
        <v>2804.2</v>
      </c>
      <c r="EX21" s="12">
        <v>3208.9</v>
      </c>
      <c r="EY21" s="12">
        <v>3320.57</v>
      </c>
      <c r="EZ21" s="12">
        <v>2944.35</v>
      </c>
      <c r="FA21" s="12">
        <v>2451.06</v>
      </c>
      <c r="FB21" s="12">
        <v>2773.08</v>
      </c>
      <c r="FC21" s="12">
        <v>2800.5</v>
      </c>
      <c r="FD21" s="12">
        <v>2877.7</v>
      </c>
      <c r="FE21" s="12">
        <v>2861.42</v>
      </c>
      <c r="FF21" s="12">
        <v>2817.27</v>
      </c>
      <c r="FG21" s="12">
        <v>2729</v>
      </c>
      <c r="FH21" s="12">
        <v>2814</v>
      </c>
      <c r="FI21" s="12">
        <v>2798.02</v>
      </c>
      <c r="FJ21" s="12">
        <v>3006.2</v>
      </c>
      <c r="FK21" s="12">
        <v>3135.1</v>
      </c>
      <c r="FL21" s="12">
        <v>3785.92</v>
      </c>
      <c r="FM21" s="12">
        <v>3711.8</v>
      </c>
      <c r="FN21" s="12">
        <v>4040.35</v>
      </c>
      <c r="FO21" s="12">
        <v>4188.26</v>
      </c>
      <c r="FP21" s="12">
        <v>3837.56</v>
      </c>
      <c r="FQ21" s="12">
        <v>3869.4</v>
      </c>
      <c r="FR21" s="12">
        <v>3549.7</v>
      </c>
      <c r="FS21" s="12">
        <v>3584</v>
      </c>
      <c r="FT21" s="12">
        <v>3357.9</v>
      </c>
      <c r="FU21" s="12">
        <v>3452.95</v>
      </c>
      <c r="FV21" s="12">
        <v>3459.85</v>
      </c>
      <c r="FW21" s="12">
        <v>3529.59</v>
      </c>
      <c r="FX21" s="12">
        <v>3372.97</v>
      </c>
      <c r="FY21" s="12">
        <v>3291.87</v>
      </c>
      <c r="FZ21" s="12">
        <v>3113.07</v>
      </c>
      <c r="GA21" s="12">
        <v>3172.21</v>
      </c>
      <c r="GB21" s="12">
        <v>3181.3</v>
      </c>
      <c r="GC21" s="12">
        <v>3237.28</v>
      </c>
      <c r="GD21" s="12">
        <v>3066.88</v>
      </c>
      <c r="GE21" s="12">
        <v>2988.78</v>
      </c>
      <c r="GF21" s="12">
        <v>2955.43</v>
      </c>
      <c r="GG21" s="12">
        <v>2788.98</v>
      </c>
      <c r="GH21" s="12">
        <v>2397.19</v>
      </c>
      <c r="GI21" s="12">
        <v>2031.57</v>
      </c>
      <c r="GJ21" s="12">
        <v>1842.53</v>
      </c>
      <c r="GK21" s="12">
        <v>1631.34</v>
      </c>
      <c r="GL21" s="12">
        <v>1964.98</v>
      </c>
      <c r="GM21" s="12">
        <v>1773.93</v>
      </c>
      <c r="GN21" s="12">
        <v>1736.2</v>
      </c>
      <c r="GO21" s="12">
        <v>1963.09</v>
      </c>
      <c r="GP21" s="12">
        <v>2519.79</v>
      </c>
      <c r="GQ21" s="12">
        <v>2721.64</v>
      </c>
      <c r="GR21" s="12">
        <v>2838.36</v>
      </c>
      <c r="GS21" s="12">
        <v>2975.68</v>
      </c>
      <c r="GT21" s="12">
        <v>3297.43</v>
      </c>
      <c r="GU21" s="12">
        <v>3333.84</v>
      </c>
      <c r="GV21" s="12">
        <v>3326.08</v>
      </c>
      <c r="GW21" s="12">
        <v>3849.38</v>
      </c>
      <c r="GX21" s="12">
        <v>4181.8</v>
      </c>
      <c r="GY21" s="12">
        <v>4354.7</v>
      </c>
      <c r="GZ21" s="12">
        <v>4270.7</v>
      </c>
      <c r="HA21" s="12">
        <v>4712.43</v>
      </c>
      <c r="HB21" s="12">
        <v>4757.3999999999996</v>
      </c>
      <c r="HC21" s="12">
        <v>5278.35</v>
      </c>
      <c r="HD21" s="12">
        <v>5854.73</v>
      </c>
      <c r="HE21" s="12">
        <v>5889.16</v>
      </c>
      <c r="HF21" s="12">
        <v>7552.7</v>
      </c>
      <c r="HG21" s="12">
        <v>7241.77</v>
      </c>
      <c r="HH21" s="12">
        <v>6988.54</v>
      </c>
      <c r="HI21" s="12">
        <v>7061.5</v>
      </c>
      <c r="HJ21" s="12">
        <v>7134.27</v>
      </c>
      <c r="HK21" s="12">
        <v>7140.92</v>
      </c>
      <c r="HL21" s="12">
        <v>6874.74</v>
      </c>
      <c r="HM21" s="12">
        <v>6822.77</v>
      </c>
      <c r="HN21" s="12">
        <v>6853.61</v>
      </c>
      <c r="HO21" s="12">
        <v>6301.02</v>
      </c>
      <c r="HP21" s="12">
        <v>6210.07</v>
      </c>
      <c r="HQ21" s="12">
        <v>6233.82</v>
      </c>
      <c r="HR21" s="12">
        <v>6045.11</v>
      </c>
      <c r="HS21" s="12">
        <v>5631.28</v>
      </c>
      <c r="HT21" s="12">
        <v>5273.58</v>
      </c>
      <c r="HU21" s="12">
        <v>5229.16</v>
      </c>
      <c r="HV21" s="12">
        <v>4925.91</v>
      </c>
      <c r="HW21" s="12">
        <v>4751.0600000000004</v>
      </c>
      <c r="HX21" s="12">
        <v>4891.58</v>
      </c>
      <c r="HY21" s="12">
        <v>4851.24</v>
      </c>
      <c r="HZ21" s="12">
        <v>4315.09</v>
      </c>
      <c r="IA21" s="12">
        <v>4383.2</v>
      </c>
      <c r="IB21" s="12">
        <v>4357.0200000000004</v>
      </c>
      <c r="IC21" s="12">
        <v>4811.99</v>
      </c>
      <c r="ID21" s="12">
        <v>5645.95</v>
      </c>
      <c r="IE21" s="12">
        <v>5037.7700000000004</v>
      </c>
      <c r="IF21" s="12">
        <v>4868.83</v>
      </c>
      <c r="IG21" s="12">
        <v>5119.09</v>
      </c>
      <c r="IH21" s="22" t="s">
        <v>15</v>
      </c>
      <c r="II21" s="22" t="s">
        <v>15</v>
      </c>
      <c r="IJ21" s="22" t="s">
        <v>15</v>
      </c>
      <c r="IK21" s="22" t="s">
        <v>15</v>
      </c>
      <c r="IL21" s="22" t="s">
        <v>15</v>
      </c>
      <c r="IM21" s="22" t="s">
        <v>15</v>
      </c>
      <c r="IN21" s="22" t="s">
        <v>15</v>
      </c>
      <c r="IO21" s="22" t="s">
        <v>15</v>
      </c>
      <c r="IP21" s="22" t="s">
        <v>15</v>
      </c>
      <c r="IQ21" s="22" t="s">
        <v>15</v>
      </c>
      <c r="IR21" s="22" t="s">
        <v>15</v>
      </c>
      <c r="IS21" s="22" t="s">
        <v>15</v>
      </c>
      <c r="IT21" s="22" t="s">
        <v>15</v>
      </c>
      <c r="IU21" s="22" t="s">
        <v>15</v>
      </c>
      <c r="IV21" s="22" t="s">
        <v>15</v>
      </c>
      <c r="IW21" s="22" t="s">
        <v>15</v>
      </c>
      <c r="IX21" s="22" t="s">
        <v>15</v>
      </c>
      <c r="IY21" s="22" t="s">
        <v>15</v>
      </c>
      <c r="IZ21" s="22" t="s">
        <v>15</v>
      </c>
      <c r="JA21" s="22" t="s">
        <v>15</v>
      </c>
      <c r="JB21" s="68" t="s">
        <v>15</v>
      </c>
      <c r="JC21" s="68" t="s">
        <v>15</v>
      </c>
      <c r="JD21" s="68" t="s">
        <v>15</v>
      </c>
      <c r="JE21" s="22">
        <v>0</v>
      </c>
      <c r="JF21" s="22">
        <v>0</v>
      </c>
      <c r="JG21" s="22">
        <v>0</v>
      </c>
      <c r="JH21" s="22">
        <v>0</v>
      </c>
      <c r="JI21" s="22" t="s">
        <v>15</v>
      </c>
      <c r="JJ21" s="22" t="s">
        <v>15</v>
      </c>
      <c r="JK21" s="22" t="s">
        <v>15</v>
      </c>
      <c r="JL21" s="22" t="s">
        <v>15</v>
      </c>
      <c r="JM21" s="22" t="s">
        <v>15</v>
      </c>
      <c r="JN21" s="22" t="s">
        <v>15</v>
      </c>
      <c r="JO21" s="22" t="s">
        <v>15</v>
      </c>
      <c r="JP21" s="22" t="s">
        <v>15</v>
      </c>
      <c r="JQ21" s="22" t="s">
        <v>15</v>
      </c>
      <c r="JR21" s="22" t="s">
        <v>15</v>
      </c>
      <c r="JS21" s="22" t="s">
        <v>15</v>
      </c>
      <c r="JT21" s="22" t="s">
        <v>15</v>
      </c>
      <c r="JU21" s="22" t="s">
        <v>15</v>
      </c>
      <c r="JV21" s="22" t="s">
        <v>15</v>
      </c>
      <c r="JW21" s="69" t="s">
        <v>15</v>
      </c>
      <c r="JX21" s="70" t="s">
        <v>15</v>
      </c>
      <c r="JY21" s="70" t="s">
        <v>15</v>
      </c>
      <c r="JZ21" s="70" t="s">
        <v>15</v>
      </c>
      <c r="KA21" s="70" t="s">
        <v>15</v>
      </c>
      <c r="KB21" s="70" t="s">
        <v>15</v>
      </c>
      <c r="KC21" s="70" t="s">
        <v>15</v>
      </c>
      <c r="KD21" s="70" t="s">
        <v>15</v>
      </c>
      <c r="KE21" s="67"/>
      <c r="KF21" s="67"/>
      <c r="KG21" s="67"/>
      <c r="KH21" s="67"/>
      <c r="KI21" s="67"/>
      <c r="KJ21" s="67"/>
      <c r="KK21" s="67"/>
      <c r="KL21" s="88"/>
      <c r="KM21" s="97"/>
      <c r="KN21" s="97"/>
      <c r="KO21" s="97"/>
      <c r="KP21" s="97"/>
      <c r="KQ21" s="97"/>
      <c r="KR21" s="97"/>
      <c r="KS21" s="97"/>
      <c r="KT21" s="97"/>
      <c r="KU21" s="97"/>
      <c r="KV21" s="97"/>
      <c r="KW21" s="97"/>
      <c r="KX21" s="97"/>
      <c r="KY21" s="97"/>
      <c r="KZ21" s="97"/>
      <c r="LA21" s="107"/>
      <c r="LB21" s="97"/>
      <c r="LC21" s="97"/>
      <c r="LD21" s="97"/>
      <c r="LE21" s="97"/>
      <c r="LF21" s="97"/>
      <c r="LG21" s="97"/>
      <c r="LH21" s="97"/>
      <c r="LI21" s="97"/>
      <c r="LJ21" s="97"/>
      <c r="LK21" s="97"/>
      <c r="LL21" s="97"/>
      <c r="LM21" s="97"/>
      <c r="LN21" s="97"/>
      <c r="LO21" s="97"/>
      <c r="LP21" s="97"/>
      <c r="LQ21" s="218"/>
      <c r="LR21" s="97"/>
      <c r="LS21" s="97"/>
      <c r="LT21" s="112"/>
      <c r="LU21" s="4" t="s">
        <v>21</v>
      </c>
      <c r="LV21" s="123" t="s">
        <v>21</v>
      </c>
      <c r="LW21" s="97"/>
      <c r="LX21" s="97"/>
      <c r="LY21" s="97"/>
      <c r="LZ21" s="97"/>
      <c r="MA21" s="97"/>
      <c r="MB21" s="97"/>
      <c r="MC21" s="97"/>
      <c r="MD21" s="97"/>
      <c r="ME21" s="97"/>
      <c r="MF21" s="97"/>
      <c r="MG21" s="97"/>
      <c r="MH21" s="97"/>
      <c r="MI21" s="97"/>
      <c r="MJ21" s="97"/>
      <c r="MK21" s="97"/>
      <c r="MM21" s="97"/>
      <c r="MN21" s="141"/>
      <c r="MO21" s="97"/>
      <c r="MP21" s="97"/>
      <c r="MQ21" s="97"/>
      <c r="MR21" s="154"/>
      <c r="MS21" s="155"/>
      <c r="MT21" s="155"/>
      <c r="MU21" s="155"/>
      <c r="MV21" s="155"/>
      <c r="MW21" s="156"/>
      <c r="MX21" s="97"/>
      <c r="MY21" s="97"/>
      <c r="MZ21" s="97"/>
      <c r="NA21" s="97"/>
      <c r="NB21" s="97"/>
      <c r="NC21" s="107"/>
      <c r="ND21" s="97"/>
      <c r="NE21" s="97"/>
      <c r="NF21" s="97"/>
      <c r="NH21" s="179"/>
      <c r="NI21" s="183"/>
      <c r="NJ21" s="97"/>
      <c r="NK21" s="97"/>
      <c r="NL21" s="97"/>
      <c r="NM21" s="154"/>
      <c r="NN21" s="155"/>
      <c r="NO21" s="187"/>
      <c r="NP21" s="155"/>
      <c r="NQ21" s="155"/>
      <c r="NR21" s="187"/>
      <c r="NS21" s="155"/>
      <c r="NT21" s="155"/>
      <c r="NU21" s="156"/>
      <c r="OG21" s="141"/>
    </row>
    <row r="22" spans="1:397" s="4" customFormat="1" ht="15" customHeight="1" x14ac:dyDescent="0.25">
      <c r="A22" s="66" t="s"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>
        <v>2817.35</v>
      </c>
      <c r="IB22" s="12">
        <v>2785.73</v>
      </c>
      <c r="IC22" s="12">
        <v>2877.88</v>
      </c>
      <c r="ID22" s="12">
        <v>3240.98</v>
      </c>
      <c r="IE22" s="12">
        <v>2988.05</v>
      </c>
      <c r="IF22" s="12">
        <v>2942.02</v>
      </c>
      <c r="IG22" s="12">
        <v>3085.33</v>
      </c>
      <c r="IH22" s="12">
        <v>3197.61</v>
      </c>
      <c r="II22" s="12">
        <v>3194.39</v>
      </c>
      <c r="IJ22" s="12">
        <v>3293.57</v>
      </c>
      <c r="IK22" s="12">
        <v>3365.79</v>
      </c>
      <c r="IL22" s="12">
        <v>3646.32</v>
      </c>
      <c r="IM22" s="12">
        <v>3431.74</v>
      </c>
      <c r="IN22" s="12">
        <v>3428.96</v>
      </c>
      <c r="IO22" s="12">
        <v>3261.33</v>
      </c>
      <c r="IP22" s="12">
        <v>3214.37</v>
      </c>
      <c r="IQ22" s="12">
        <v>3282.07</v>
      </c>
      <c r="IR22" s="12">
        <v>3174.63</v>
      </c>
      <c r="IS22" s="12">
        <v>3263.87</v>
      </c>
      <c r="IT22" s="12">
        <v>3443.25</v>
      </c>
      <c r="IU22" s="12">
        <v>3223.66</v>
      </c>
      <c r="IV22" s="12">
        <v>3279.92</v>
      </c>
      <c r="IW22" s="12">
        <v>3418.19</v>
      </c>
      <c r="IX22" s="12">
        <v>3454.61</v>
      </c>
      <c r="IY22" s="12">
        <v>3534.43</v>
      </c>
      <c r="IZ22" s="12">
        <v>3772.51</v>
      </c>
      <c r="JA22" s="12">
        <v>3872.51</v>
      </c>
      <c r="JB22" s="44">
        <v>4038.3</v>
      </c>
      <c r="JC22" s="44">
        <v>4087.38</v>
      </c>
      <c r="JD22" s="44">
        <v>3971.12</v>
      </c>
      <c r="JE22" s="12">
        <v>4089.14</v>
      </c>
      <c r="JF22" s="12">
        <v>3962.24</v>
      </c>
      <c r="JG22" s="12">
        <v>4115.88</v>
      </c>
      <c r="JH22" s="12">
        <v>3852.43</v>
      </c>
      <c r="JI22" s="12">
        <v>4053.45</v>
      </c>
      <c r="JJ22" s="12">
        <v>4000.66</v>
      </c>
      <c r="JK22" s="12">
        <v>3908.03</v>
      </c>
      <c r="JL22" s="12">
        <v>4107.97</v>
      </c>
      <c r="JM22" s="12">
        <v>4026.26</v>
      </c>
      <c r="JN22" s="12">
        <v>3826.15</v>
      </c>
      <c r="JO22" s="12">
        <v>3803</v>
      </c>
      <c r="JP22" s="12">
        <v>3657.69</v>
      </c>
      <c r="JQ22" s="12">
        <v>3625.69</v>
      </c>
      <c r="JR22" s="12">
        <v>3302.01</v>
      </c>
      <c r="JS22" s="12">
        <v>3249.46</v>
      </c>
      <c r="JT22" s="12">
        <v>3204.44</v>
      </c>
      <c r="JU22" s="12">
        <v>3435.55</v>
      </c>
      <c r="JV22" s="12">
        <v>3425.57</v>
      </c>
      <c r="JW22" s="56">
        <v>3300.2</v>
      </c>
      <c r="JX22" s="67">
        <v>3414.39</v>
      </c>
      <c r="JY22" s="67">
        <v>3585.14</v>
      </c>
      <c r="JZ22" s="67">
        <v>3617.32</v>
      </c>
      <c r="KA22" s="67">
        <v>3559.92</v>
      </c>
      <c r="KB22" s="67">
        <v>3467.1</v>
      </c>
      <c r="KC22" s="67">
        <v>3496.44</v>
      </c>
      <c r="KD22" s="67">
        <v>3489.61</v>
      </c>
      <c r="KE22" s="67">
        <v>3543.82</v>
      </c>
      <c r="KF22" s="67">
        <v>3438.88</v>
      </c>
      <c r="KG22" s="67">
        <v>3786.39</v>
      </c>
      <c r="KH22" s="67">
        <v>3818.9</v>
      </c>
      <c r="KI22" s="67">
        <v>3933.51</v>
      </c>
      <c r="KJ22" s="67">
        <v>3811.01</v>
      </c>
      <c r="KK22" s="67">
        <v>3685.96</v>
      </c>
      <c r="KL22" s="88">
        <v>3687.97</v>
      </c>
      <c r="KM22" s="97">
        <v>3899.63</v>
      </c>
      <c r="KN22" s="97">
        <v>3724.96</v>
      </c>
      <c r="KO22" s="97">
        <v>3671.72</v>
      </c>
      <c r="KP22" s="97">
        <v>3747.3</v>
      </c>
      <c r="KQ22" s="97">
        <v>3710.14</v>
      </c>
      <c r="KR22" s="97">
        <v>3650.1</v>
      </c>
      <c r="KS22" s="97">
        <v>3660.1</v>
      </c>
      <c r="KT22" s="97">
        <v>3567.04</v>
      </c>
      <c r="KU22" s="97">
        <v>3388.88</v>
      </c>
      <c r="KV22" s="97">
        <v>3333.42</v>
      </c>
      <c r="KW22" s="97">
        <v>3229.21</v>
      </c>
      <c r="KX22" s="97">
        <v>3002</v>
      </c>
      <c r="KY22" s="97">
        <v>3084.08</v>
      </c>
      <c r="KZ22" s="97">
        <v>3178.51</v>
      </c>
      <c r="LA22" s="107">
        <v>3135.18</v>
      </c>
      <c r="LB22" s="97">
        <v>3073.71</v>
      </c>
      <c r="LC22" s="97">
        <v>2978.91</v>
      </c>
      <c r="LD22" s="97">
        <v>2738.95</v>
      </c>
      <c r="LE22" s="97">
        <v>2627.46</v>
      </c>
      <c r="LF22" s="97">
        <v>2469.8200000000002</v>
      </c>
      <c r="LG22" s="97">
        <v>2496.56</v>
      </c>
      <c r="LH22" s="97">
        <v>2983.45</v>
      </c>
      <c r="LI22" s="97">
        <v>2908.44</v>
      </c>
      <c r="LJ22" s="97">
        <v>2759.72</v>
      </c>
      <c r="LK22" s="97">
        <v>2980.11</v>
      </c>
      <c r="LL22" s="97">
        <v>3072.15</v>
      </c>
      <c r="LM22" s="97">
        <v>2936.96</v>
      </c>
      <c r="LN22" s="97">
        <v>2835.04</v>
      </c>
      <c r="LO22" s="97">
        <v>2631.99</v>
      </c>
      <c r="LP22" s="97">
        <v>1947.42</v>
      </c>
      <c r="LQ22" s="218"/>
      <c r="LR22" s="97">
        <v>2016.08</v>
      </c>
      <c r="LS22" s="97">
        <v>2268.77</v>
      </c>
      <c r="LT22" s="112">
        <v>2179.65</v>
      </c>
      <c r="LU22" s="4">
        <v>2359.75</v>
      </c>
      <c r="LV22" s="123">
        <v>2463.27</v>
      </c>
      <c r="LW22" s="97">
        <v>2282.1999999999998</v>
      </c>
      <c r="LX22" s="97">
        <v>2453.87</v>
      </c>
      <c r="LY22" s="97">
        <v>2638.1</v>
      </c>
      <c r="LZ22" s="133">
        <v>3514.18</v>
      </c>
      <c r="MA22" s="133">
        <v>2966.63</v>
      </c>
      <c r="MB22" s="97">
        <v>2850.12</v>
      </c>
      <c r="MC22" s="97">
        <v>2869.25</v>
      </c>
      <c r="MD22" s="97">
        <v>2978.81</v>
      </c>
      <c r="ME22" s="97">
        <v>2968.26</v>
      </c>
      <c r="MF22" s="97">
        <v>3062.17</v>
      </c>
      <c r="MG22" s="97">
        <v>3364.59</v>
      </c>
      <c r="MH22" s="97">
        <v>3534.82</v>
      </c>
      <c r="MI22" s="97">
        <v>3708.52</v>
      </c>
      <c r="MJ22" s="97">
        <v>3875.96</v>
      </c>
      <c r="MK22" s="97">
        <v>4233.25</v>
      </c>
      <c r="ML22" s="4">
        <v>4397.57</v>
      </c>
      <c r="MM22" s="97">
        <v>3936.81</v>
      </c>
      <c r="MN22" s="141">
        <v>3031.16</v>
      </c>
      <c r="MO22" s="97">
        <v>2509.2399999999998</v>
      </c>
      <c r="MP22" s="97">
        <v>2679.33</v>
      </c>
      <c r="MQ22" s="97">
        <v>2334.36</v>
      </c>
      <c r="MR22" s="154">
        <v>2448.36</v>
      </c>
      <c r="MS22" s="155">
        <v>2928.97</v>
      </c>
      <c r="MT22" s="155">
        <v>3165.33</v>
      </c>
      <c r="MU22" s="155">
        <v>2590.61</v>
      </c>
      <c r="MV22" s="155">
        <v>2730.08</v>
      </c>
      <c r="MW22" s="156">
        <v>2635.63</v>
      </c>
      <c r="MX22" s="97">
        <v>2764.51</v>
      </c>
      <c r="MY22" s="97">
        <v>2796.71</v>
      </c>
      <c r="MZ22" s="97">
        <v>2682.83</v>
      </c>
      <c r="NA22" s="97">
        <v>2617.79</v>
      </c>
      <c r="NB22" s="97">
        <v>2421.4899999999998</v>
      </c>
      <c r="NC22" s="107">
        <v>2713.65</v>
      </c>
      <c r="ND22" s="97">
        <v>3309.6</v>
      </c>
      <c r="NE22" s="97">
        <v>3131.07</v>
      </c>
      <c r="NF22" s="97">
        <v>3197.72</v>
      </c>
      <c r="NG22" s="4">
        <v>2994.35</v>
      </c>
      <c r="NH22" s="179">
        <v>3010.03</v>
      </c>
      <c r="NI22" s="183">
        <v>3068.36</v>
      </c>
      <c r="NJ22" s="97">
        <v>2896.48</v>
      </c>
      <c r="NK22" s="97">
        <v>3037.38</v>
      </c>
      <c r="NL22" s="97">
        <v>3317.62</v>
      </c>
      <c r="NM22" s="154">
        <v>3689.97</v>
      </c>
      <c r="NN22" s="155">
        <v>3569.04</v>
      </c>
      <c r="NO22" s="187">
        <v>3588.54</v>
      </c>
      <c r="NP22" s="155">
        <v>3265.55</v>
      </c>
      <c r="NQ22" s="155">
        <v>3058.6</v>
      </c>
      <c r="NR22" s="187">
        <v>3453.41</v>
      </c>
      <c r="NS22" s="155">
        <v>3864.32</v>
      </c>
      <c r="NT22" s="155">
        <v>3905.17</v>
      </c>
      <c r="NU22" s="156">
        <v>4862.1000000000004</v>
      </c>
      <c r="NV22" s="4">
        <v>5114.3500000000004</v>
      </c>
      <c r="NW22" s="4">
        <v>4931.17</v>
      </c>
      <c r="NX22" s="4">
        <v>4734.72</v>
      </c>
      <c r="NY22" s="4">
        <v>4643.66</v>
      </c>
      <c r="NZ22" s="4">
        <v>4981.57</v>
      </c>
      <c r="OA22" s="4">
        <v>5352.51</v>
      </c>
      <c r="OB22" s="4">
        <v>5762.17</v>
      </c>
      <c r="OC22" s="4">
        <v>6076.79</v>
      </c>
      <c r="OD22" s="4">
        <v>6126.53</v>
      </c>
      <c r="OE22" s="4">
        <v>6213.91</v>
      </c>
      <c r="OF22" s="4">
        <v>6267.03</v>
      </c>
      <c r="OG22" s="141">
        <v>6157.38</v>
      </c>
    </row>
    <row r="23" spans="1:397" s="4" customFormat="1" ht="15" customHeight="1" x14ac:dyDescent="0.25">
      <c r="A23" s="66" t="s">
        <v>17</v>
      </c>
      <c r="B23" s="12">
        <v>62.1</v>
      </c>
      <c r="C23" s="12">
        <v>62</v>
      </c>
      <c r="D23" s="12">
        <v>63.59</v>
      </c>
      <c r="E23" s="12">
        <v>65.14</v>
      </c>
      <c r="F23" s="12">
        <v>67.900000000000006</v>
      </c>
      <c r="G23" s="12">
        <v>74.94</v>
      </c>
      <c r="H23" s="12">
        <v>88.41</v>
      </c>
      <c r="I23" s="12">
        <v>88.37</v>
      </c>
      <c r="J23" s="12">
        <v>88.69</v>
      </c>
      <c r="K23" s="12">
        <v>97.27</v>
      </c>
      <c r="L23" s="12">
        <v>115.96</v>
      </c>
      <c r="M23" s="12">
        <v>123.79</v>
      </c>
      <c r="N23" s="12">
        <v>145.68437514524999</v>
      </c>
      <c r="O23" s="12">
        <v>175.83885915599998</v>
      </c>
      <c r="P23" s="12">
        <v>154.58603446250001</v>
      </c>
      <c r="Q23" s="12">
        <v>137.28779793574998</v>
      </c>
      <c r="R23" s="12">
        <v>133.7715997995</v>
      </c>
      <c r="S23" s="12">
        <v>133.14023340150001</v>
      </c>
      <c r="T23" s="12">
        <v>134.25243815624998</v>
      </c>
      <c r="U23" s="12">
        <v>145.1065302865</v>
      </c>
      <c r="V23" s="12">
        <v>163.96259918375</v>
      </c>
      <c r="W23" s="12">
        <v>158.42285722475</v>
      </c>
      <c r="X23" s="12">
        <v>153.87120996274999</v>
      </c>
      <c r="Y23" s="12">
        <v>143.21332359350001</v>
      </c>
      <c r="Z23" s="12">
        <v>142.47082239749997</v>
      </c>
      <c r="AA23" s="12">
        <v>123.6433038295</v>
      </c>
      <c r="AB23" s="12">
        <v>129.10465183274999</v>
      </c>
      <c r="AC23" s="12">
        <v>116.29131906725</v>
      </c>
      <c r="AD23" s="12">
        <v>108.914838027</v>
      </c>
      <c r="AE23" s="12">
        <v>113.3956951725</v>
      </c>
      <c r="AF23" s="12">
        <v>114.4384865075</v>
      </c>
      <c r="AG23" s="12">
        <v>113.561458718</v>
      </c>
      <c r="AH23" s="12">
        <v>102.97076690175</v>
      </c>
      <c r="AI23" s="12">
        <v>102.88849719325</v>
      </c>
      <c r="AJ23" s="12">
        <v>104.09808194874999</v>
      </c>
      <c r="AK23" s="12">
        <v>104.920835501</v>
      </c>
      <c r="AL23" s="12">
        <v>101.85764268624999</v>
      </c>
      <c r="AM23" s="12">
        <v>102.5833352855</v>
      </c>
      <c r="AN23" s="12">
        <v>106.68200322974999</v>
      </c>
      <c r="AO23" s="12">
        <v>103.21223389375</v>
      </c>
      <c r="AP23" s="12">
        <v>103.62202135525001</v>
      </c>
      <c r="AQ23" s="12">
        <v>96.388606667000005</v>
      </c>
      <c r="AR23" s="12">
        <v>89.561052550750006</v>
      </c>
      <c r="AS23" s="12">
        <v>90.281153809499997</v>
      </c>
      <c r="AT23" s="12">
        <v>94.942051129749998</v>
      </c>
      <c r="AU23" s="12">
        <v>100.48984718325001</v>
      </c>
      <c r="AV23" s="12">
        <v>102.2913768265</v>
      </c>
      <c r="AW23" s="12">
        <v>106.03470647424999</v>
      </c>
      <c r="AX23" s="12">
        <v>110.09027269175</v>
      </c>
      <c r="AY23" s="12">
        <v>108.3043</v>
      </c>
      <c r="AZ23" s="12">
        <v>111.63589999999999</v>
      </c>
      <c r="BA23" s="12">
        <v>129.6123</v>
      </c>
      <c r="BB23" s="12">
        <v>128.2191</v>
      </c>
      <c r="BC23" s="12">
        <v>139.28899999999999</v>
      </c>
      <c r="BD23" s="12">
        <v>152.9999</v>
      </c>
      <c r="BE23" s="12">
        <v>148.8546</v>
      </c>
      <c r="BF23" s="12">
        <v>142.7543</v>
      </c>
      <c r="BG23" s="12">
        <v>133.352</v>
      </c>
      <c r="BH23" s="12">
        <v>123.18610000000001</v>
      </c>
      <c r="BI23" s="12">
        <v>129.4281</v>
      </c>
      <c r="BJ23" s="12">
        <v>122.33919999999999</v>
      </c>
      <c r="BK23" s="12">
        <v>128.8801</v>
      </c>
      <c r="BL23" s="12">
        <v>134.76560000000001</v>
      </c>
      <c r="BM23" s="12">
        <v>147.88479999999998</v>
      </c>
      <c r="BN23" s="12">
        <v>129.69880000000001</v>
      </c>
      <c r="BO23" s="12">
        <v>111.1207</v>
      </c>
      <c r="BP23" s="12">
        <v>114.41969999999999</v>
      </c>
      <c r="BQ23" s="12">
        <v>96.190399999999997</v>
      </c>
      <c r="BR23" s="12">
        <v>97.271199999999993</v>
      </c>
      <c r="BS23" s="12">
        <v>97.311800000000005</v>
      </c>
      <c r="BT23" s="12">
        <v>112.2105</v>
      </c>
      <c r="BU23" s="12">
        <v>116.6652</v>
      </c>
      <c r="BV23" s="12">
        <v>112.13489999999999</v>
      </c>
      <c r="BW23" s="12">
        <v>111.27839999999999</v>
      </c>
      <c r="BX23" s="12">
        <v>104.9235</v>
      </c>
      <c r="BY23" s="12">
        <v>107.6936</v>
      </c>
      <c r="BZ23" s="12">
        <v>108.73389999999999</v>
      </c>
      <c r="CA23" s="12">
        <v>102.934</v>
      </c>
      <c r="CB23" s="12">
        <v>113.5959</v>
      </c>
      <c r="CC23" s="12">
        <v>111.6665</v>
      </c>
      <c r="CD23" s="12">
        <v>113.1099</v>
      </c>
      <c r="CE23" s="12">
        <v>106.26219999999999</v>
      </c>
      <c r="CF23" s="12">
        <v>110.982</v>
      </c>
      <c r="CG23" s="12">
        <v>112.78269999999999</v>
      </c>
      <c r="CH23" s="12">
        <v>109.7831</v>
      </c>
      <c r="CI23" s="12">
        <v>107</v>
      </c>
      <c r="CJ23" s="12">
        <v>97.7</v>
      </c>
      <c r="CK23" s="12">
        <v>94.2</v>
      </c>
      <c r="CL23" s="12">
        <v>94.32</v>
      </c>
      <c r="CM23" s="12">
        <v>101.38</v>
      </c>
      <c r="CN23" s="12">
        <v>100.59</v>
      </c>
      <c r="CO23" s="12">
        <v>98.14</v>
      </c>
      <c r="CP23" s="12">
        <v>103.49</v>
      </c>
      <c r="CQ23" s="12">
        <v>97.72</v>
      </c>
      <c r="CR23" s="12">
        <v>85.99</v>
      </c>
      <c r="CS23" s="12">
        <v>88.8</v>
      </c>
      <c r="CT23" s="12">
        <v>87.29</v>
      </c>
      <c r="CU23" s="12">
        <v>87.53</v>
      </c>
      <c r="CV23" s="12">
        <v>83.86</v>
      </c>
      <c r="CW23" s="12">
        <v>82.46</v>
      </c>
      <c r="CX23" s="12">
        <v>83.34</v>
      </c>
      <c r="CY23" s="12">
        <v>85.21</v>
      </c>
      <c r="CZ23" s="12">
        <v>83.45</v>
      </c>
      <c r="DA23" s="12">
        <v>81.17</v>
      </c>
      <c r="DB23" s="12">
        <v>80.430000000000007</v>
      </c>
      <c r="DC23" s="12">
        <v>100.74</v>
      </c>
      <c r="DD23" s="12">
        <v>107.13</v>
      </c>
      <c r="DE23" s="12">
        <v>124</v>
      </c>
      <c r="DF23" s="12">
        <v>112.4</v>
      </c>
      <c r="DG23" s="12">
        <v>121.06</v>
      </c>
      <c r="DH23" s="12">
        <v>124.65</v>
      </c>
      <c r="DI23" s="12">
        <v>124.58</v>
      </c>
      <c r="DJ23" s="12">
        <v>138.57</v>
      </c>
      <c r="DK23" s="12">
        <v>143.97999999999999</v>
      </c>
      <c r="DL23" s="12">
        <v>142.28</v>
      </c>
      <c r="DM23" s="12">
        <v>152.9</v>
      </c>
      <c r="DN23" s="12">
        <v>174.28</v>
      </c>
      <c r="DO23" s="12">
        <v>166.01</v>
      </c>
      <c r="DP23" s="12">
        <v>159.86000000000001</v>
      </c>
      <c r="DQ23" s="12">
        <v>162.58000000000001</v>
      </c>
      <c r="DR23" s="12">
        <v>186.22</v>
      </c>
      <c r="DS23" s="12">
        <v>176.04</v>
      </c>
      <c r="DT23" s="12">
        <v>173.6</v>
      </c>
      <c r="DU23" s="12">
        <v>194.04</v>
      </c>
      <c r="DV23" s="12">
        <v>202.13</v>
      </c>
      <c r="DW23" s="12">
        <v>247.7</v>
      </c>
      <c r="DX23" s="12">
        <v>247.1</v>
      </c>
      <c r="DY23" s="12">
        <v>256.02999999999997</v>
      </c>
      <c r="DZ23" s="12">
        <v>308.02</v>
      </c>
      <c r="EA23" s="12">
        <v>345.4</v>
      </c>
      <c r="EB23" s="12">
        <v>298.42</v>
      </c>
      <c r="EC23" s="12">
        <v>262.83</v>
      </c>
      <c r="ED23" s="12">
        <v>300.94</v>
      </c>
      <c r="EE23" s="12">
        <v>299.54000000000002</v>
      </c>
      <c r="EF23" s="12">
        <v>314.02</v>
      </c>
      <c r="EG23" s="12">
        <v>296.5</v>
      </c>
      <c r="EH23" s="12">
        <v>322.7</v>
      </c>
      <c r="EI23" s="12">
        <v>332.3</v>
      </c>
      <c r="EJ23" s="12">
        <v>356.12</v>
      </c>
      <c r="EK23" s="12">
        <v>335.79</v>
      </c>
      <c r="EL23" s="12">
        <v>357.94</v>
      </c>
      <c r="EM23" s="12">
        <v>379.3</v>
      </c>
      <c r="EN23" s="12">
        <v>365.11</v>
      </c>
      <c r="EO23" s="12">
        <v>382.06</v>
      </c>
      <c r="EP23" s="12">
        <v>422.06</v>
      </c>
      <c r="EQ23" s="12">
        <v>438.5</v>
      </c>
      <c r="ER23" s="12">
        <v>448.94099999999997</v>
      </c>
      <c r="ES23" s="12">
        <v>469.5</v>
      </c>
      <c r="ET23" s="12">
        <v>497.1</v>
      </c>
      <c r="EU23" s="12">
        <v>489.1</v>
      </c>
      <c r="EV23" s="12">
        <v>619.70000000000005</v>
      </c>
      <c r="EW23" s="12">
        <v>649.6</v>
      </c>
      <c r="EX23" s="12">
        <v>734.8</v>
      </c>
      <c r="EY23" s="12">
        <v>761.5</v>
      </c>
      <c r="EZ23" s="12">
        <v>696.3</v>
      </c>
      <c r="FA23" s="12">
        <v>584</v>
      </c>
      <c r="FB23" s="12">
        <v>649.79999999999995</v>
      </c>
      <c r="FC23" s="12">
        <v>672.2</v>
      </c>
      <c r="FD23" s="12">
        <v>688.24598540199997</v>
      </c>
      <c r="FE23" s="12">
        <v>688.2</v>
      </c>
      <c r="FF23" s="12">
        <v>672.5</v>
      </c>
      <c r="FG23" s="12">
        <v>645.29999999999995</v>
      </c>
      <c r="FH23" s="12">
        <v>670.3</v>
      </c>
      <c r="FI23" s="12">
        <v>673.07600000000002</v>
      </c>
      <c r="FJ23" s="12">
        <v>729.46</v>
      </c>
      <c r="FK23" s="12">
        <v>751.9</v>
      </c>
      <c r="FL23" s="12">
        <v>851.65</v>
      </c>
      <c r="FM23" s="12">
        <v>834.76199999999994</v>
      </c>
      <c r="FN23" s="12">
        <v>909.97</v>
      </c>
      <c r="FO23" s="12">
        <v>928.44</v>
      </c>
      <c r="FP23" s="12">
        <v>869.26</v>
      </c>
      <c r="FQ23" s="12">
        <v>884.65</v>
      </c>
      <c r="FR23" s="12">
        <v>804.32</v>
      </c>
      <c r="FS23" s="12">
        <v>828.47</v>
      </c>
      <c r="FT23" s="12">
        <v>787.11</v>
      </c>
      <c r="FU23" s="12">
        <v>814.62</v>
      </c>
      <c r="FV23" s="12">
        <v>824.35</v>
      </c>
      <c r="FW23" s="12">
        <v>843.37</v>
      </c>
      <c r="FX23" s="12">
        <v>825.32</v>
      </c>
      <c r="FY23" s="12">
        <v>820.65</v>
      </c>
      <c r="FZ23" s="12">
        <v>791.61</v>
      </c>
      <c r="GA23" s="12">
        <v>819.92</v>
      </c>
      <c r="GB23" s="12">
        <v>827.73</v>
      </c>
      <c r="GC23" s="12">
        <v>851.63</v>
      </c>
      <c r="GD23" s="12">
        <v>821.27</v>
      </c>
      <c r="GE23" s="12">
        <v>794.68</v>
      </c>
      <c r="GF23" s="12">
        <v>801.38</v>
      </c>
      <c r="GG23" s="12">
        <v>784.05</v>
      </c>
      <c r="GH23" s="12">
        <v>699.25</v>
      </c>
      <c r="GI23" s="12">
        <v>594.35</v>
      </c>
      <c r="GJ23" s="12">
        <v>535.02</v>
      </c>
      <c r="GK23" s="12">
        <v>488.81</v>
      </c>
      <c r="GL23" s="12">
        <v>592.74</v>
      </c>
      <c r="GM23" s="12">
        <v>551.99</v>
      </c>
      <c r="GN23" s="12">
        <v>533.74900000000002</v>
      </c>
      <c r="GO23" s="12">
        <v>599.04</v>
      </c>
      <c r="GP23" s="12">
        <v>712.07</v>
      </c>
      <c r="GQ23" s="12">
        <v>781.774</v>
      </c>
      <c r="GR23" s="12">
        <v>807.46</v>
      </c>
      <c r="GS23" s="12">
        <v>834.92</v>
      </c>
      <c r="GT23" s="12">
        <v>941.51</v>
      </c>
      <c r="GU23" s="12">
        <v>958.69</v>
      </c>
      <c r="GV23" s="12">
        <v>939.25</v>
      </c>
      <c r="GW23" s="12">
        <v>1092.1369999999999</v>
      </c>
      <c r="GX23" s="12">
        <v>1171.241</v>
      </c>
      <c r="GY23" s="12">
        <v>1226.9659999999999</v>
      </c>
      <c r="GZ23" s="12">
        <v>1210.8399999999999</v>
      </c>
      <c r="HA23" s="12">
        <v>1363.35</v>
      </c>
      <c r="HB23" s="12">
        <v>1380.19</v>
      </c>
      <c r="HC23" s="12">
        <v>1503.91</v>
      </c>
      <c r="HD23" s="12">
        <v>1692.57</v>
      </c>
      <c r="HE23" s="12">
        <v>1862.74</v>
      </c>
      <c r="HF23" s="12">
        <v>2308.7600000000002</v>
      </c>
      <c r="HG23" s="12">
        <v>2209.1</v>
      </c>
      <c r="HH23" s="12">
        <v>2132</v>
      </c>
      <c r="HI23" s="12">
        <v>2210.4520809710002</v>
      </c>
      <c r="HJ23" s="12">
        <v>2387.64</v>
      </c>
      <c r="HK23" s="12">
        <v>2599.87</v>
      </c>
      <c r="HL23" s="12">
        <v>2425.0500000000002</v>
      </c>
      <c r="HM23" s="12">
        <v>2487.16</v>
      </c>
      <c r="HN23" s="12">
        <v>2515.2199999999998</v>
      </c>
      <c r="HO23" s="12">
        <v>2351.75</v>
      </c>
      <c r="HP23" s="12">
        <v>2444.6999999999998</v>
      </c>
      <c r="HQ23" s="12">
        <v>2466.61</v>
      </c>
      <c r="HR23" s="12">
        <v>2435.5</v>
      </c>
      <c r="HS23" s="12">
        <v>2270.98</v>
      </c>
      <c r="HT23" s="12">
        <v>2218.4499999999998</v>
      </c>
      <c r="HU23" s="12">
        <v>2213.87</v>
      </c>
      <c r="HV23" s="12">
        <v>2084.13</v>
      </c>
      <c r="HW23" s="12">
        <v>2001.18</v>
      </c>
      <c r="HX23" s="12">
        <v>2012.87</v>
      </c>
      <c r="HY23" s="12">
        <v>2016.91</v>
      </c>
      <c r="HZ23" s="12">
        <v>1807.42</v>
      </c>
      <c r="IA23" s="12">
        <v>1894.22</v>
      </c>
      <c r="IB23" s="12">
        <v>1889.71</v>
      </c>
      <c r="IC23" s="12">
        <v>1980.81</v>
      </c>
      <c r="ID23" s="12">
        <v>2284.88</v>
      </c>
      <c r="IE23" s="12">
        <v>2112.11</v>
      </c>
      <c r="IF23" s="12">
        <v>2054.91</v>
      </c>
      <c r="IG23" s="12">
        <v>2167.58</v>
      </c>
      <c r="IH23" s="12">
        <v>2234.5100000000002</v>
      </c>
      <c r="II23" s="12">
        <v>2165.2399999999998</v>
      </c>
      <c r="IJ23" s="12">
        <v>2199.96</v>
      </c>
      <c r="IK23" s="12">
        <v>2280.7600000000002</v>
      </c>
      <c r="IL23" s="12">
        <v>2481.84</v>
      </c>
      <c r="IM23" s="12">
        <v>2350.7399999999998</v>
      </c>
      <c r="IN23" s="12">
        <v>2323.35</v>
      </c>
      <c r="IO23" s="12">
        <v>2402.88</v>
      </c>
      <c r="IP23" s="12">
        <v>2390.16</v>
      </c>
      <c r="IQ23" s="12">
        <v>2476.3000000000002</v>
      </c>
      <c r="IR23" s="12">
        <v>2402.71</v>
      </c>
      <c r="IS23" s="12">
        <v>2459.9</v>
      </c>
      <c r="IT23" s="12">
        <v>2608.27</v>
      </c>
      <c r="IU23" s="12">
        <v>2480.83</v>
      </c>
      <c r="IV23" s="12">
        <v>2498</v>
      </c>
      <c r="IW23" s="12">
        <v>2606.2600000000002</v>
      </c>
      <c r="IX23" s="12">
        <v>2623.33</v>
      </c>
      <c r="IY23" s="12">
        <v>2673.02</v>
      </c>
      <c r="IZ23" s="12">
        <v>2856.87</v>
      </c>
      <c r="JA23" s="12">
        <v>2952.42</v>
      </c>
      <c r="JB23" s="44">
        <v>3066.35</v>
      </c>
      <c r="JC23" s="44">
        <v>3109.56</v>
      </c>
      <c r="JD23" s="44">
        <v>3039.2</v>
      </c>
      <c r="JE23" s="12">
        <v>3104.86</v>
      </c>
      <c r="JF23" s="12">
        <v>3042.26</v>
      </c>
      <c r="JG23" s="12">
        <v>3094.62</v>
      </c>
      <c r="JH23" s="12">
        <v>2891.17</v>
      </c>
      <c r="JI23" s="12">
        <v>3048.67</v>
      </c>
      <c r="JJ23" s="12">
        <v>3067.26</v>
      </c>
      <c r="JK23" s="12">
        <v>2983.02</v>
      </c>
      <c r="JL23" s="12">
        <v>3115.26</v>
      </c>
      <c r="JM23" s="12">
        <v>3104.34</v>
      </c>
      <c r="JN23" s="12">
        <v>2990.81</v>
      </c>
      <c r="JO23" s="12">
        <v>2990.46</v>
      </c>
      <c r="JP23" s="12">
        <v>2943.29</v>
      </c>
      <c r="JQ23" s="12">
        <v>2938</v>
      </c>
      <c r="JR23" s="12">
        <v>2706.66</v>
      </c>
      <c r="JS23" s="12">
        <v>2646.08</v>
      </c>
      <c r="JT23" s="12">
        <v>2586.15</v>
      </c>
      <c r="JU23" s="12">
        <v>2776.54</v>
      </c>
      <c r="JV23" s="12">
        <v>2791.18</v>
      </c>
      <c r="JW23" s="56">
        <v>2677.6</v>
      </c>
      <c r="JX23" s="67">
        <v>2724.76</v>
      </c>
      <c r="JY23" s="67">
        <v>2782.79</v>
      </c>
      <c r="JZ23" s="67">
        <v>2785.68</v>
      </c>
      <c r="KA23" s="67">
        <v>2732.38</v>
      </c>
      <c r="KB23" s="67">
        <v>2659.52</v>
      </c>
      <c r="KC23" s="67">
        <v>2745.41</v>
      </c>
      <c r="KD23" s="67">
        <v>2701.6</v>
      </c>
      <c r="KE23" s="67">
        <v>2698.4</v>
      </c>
      <c r="KF23" s="67">
        <v>2662.86</v>
      </c>
      <c r="KG23" s="67">
        <v>2908.77</v>
      </c>
      <c r="KH23" s="67">
        <v>2952.54</v>
      </c>
      <c r="KI23" s="67">
        <v>3041.23</v>
      </c>
      <c r="KJ23" s="67">
        <v>3010.15</v>
      </c>
      <c r="KK23" s="67">
        <v>2897.75</v>
      </c>
      <c r="KL23" s="88">
        <v>2919.7</v>
      </c>
      <c r="KM23" s="97">
        <v>3008.75</v>
      </c>
      <c r="KN23" s="97">
        <v>2922.66</v>
      </c>
      <c r="KO23" s="97">
        <v>2899.29</v>
      </c>
      <c r="KP23" s="97">
        <v>2961.47</v>
      </c>
      <c r="KQ23" s="97">
        <v>3046.35</v>
      </c>
      <c r="KR23" s="97">
        <v>3032.71</v>
      </c>
      <c r="KS23" s="97">
        <v>3049.25</v>
      </c>
      <c r="KT23" s="97">
        <v>2989.02</v>
      </c>
      <c r="KU23" s="97">
        <v>2893.76</v>
      </c>
      <c r="KV23" s="97">
        <v>2878.59</v>
      </c>
      <c r="KW23" s="97">
        <v>2848.52</v>
      </c>
      <c r="KX23" s="97">
        <v>2752.86</v>
      </c>
      <c r="KY23" s="97">
        <v>2793.05</v>
      </c>
      <c r="KZ23" s="97">
        <v>2823.95</v>
      </c>
      <c r="LA23" s="107">
        <v>2839.45</v>
      </c>
      <c r="LB23" s="97">
        <v>2799.4</v>
      </c>
      <c r="LC23" s="97">
        <v>2718.58</v>
      </c>
      <c r="LD23" s="97">
        <v>2605.9</v>
      </c>
      <c r="LE23" s="97">
        <v>2572.5100000000002</v>
      </c>
      <c r="LF23" s="97">
        <v>2502.27</v>
      </c>
      <c r="LG23" s="97">
        <v>2523.38</v>
      </c>
      <c r="LH23" s="97">
        <v>2797.91</v>
      </c>
      <c r="LI23" s="97">
        <v>2780.49</v>
      </c>
      <c r="LJ23" s="97">
        <v>2709.22</v>
      </c>
      <c r="LK23" s="97">
        <v>2781.67</v>
      </c>
      <c r="LL23" s="97">
        <v>2889.79</v>
      </c>
      <c r="LM23" s="97">
        <v>2851.31</v>
      </c>
      <c r="LN23" s="97">
        <v>2761.11</v>
      </c>
      <c r="LO23" s="97">
        <v>2599.15</v>
      </c>
      <c r="LP23" s="97">
        <v>2128.27</v>
      </c>
      <c r="LQ23" s="218"/>
      <c r="LR23" s="97">
        <v>2265.9899999999998</v>
      </c>
      <c r="LS23" s="97">
        <v>2404.67</v>
      </c>
      <c r="LT23" s="112">
        <v>2411.67</v>
      </c>
      <c r="LU23" s="4">
        <v>2316.19</v>
      </c>
      <c r="LV23" s="123">
        <v>2595.84</v>
      </c>
      <c r="LW23" s="97">
        <v>2494.2600000000002</v>
      </c>
      <c r="LX23" s="97">
        <v>2728.11</v>
      </c>
      <c r="LY23" s="97">
        <v>2960.65</v>
      </c>
      <c r="LZ23" s="133">
        <v>3789.15</v>
      </c>
      <c r="MA23" s="133">
        <v>3269.43</v>
      </c>
      <c r="MB23" s="133">
        <v>3111.26</v>
      </c>
      <c r="MC23" s="97">
        <v>3178.8</v>
      </c>
      <c r="MD23" s="97">
        <v>3268.27</v>
      </c>
      <c r="ME23" s="97">
        <v>3470.24</v>
      </c>
      <c r="MF23" s="97">
        <v>3598.61</v>
      </c>
      <c r="MG23" s="97">
        <v>4009.46</v>
      </c>
      <c r="MH23" s="97">
        <v>4215.63</v>
      </c>
      <c r="MI23" s="97">
        <v>4529.29</v>
      </c>
      <c r="MJ23" s="97">
        <v>5105.7299999999996</v>
      </c>
      <c r="MK23" s="97">
        <v>5489.17</v>
      </c>
      <c r="ML23" s="4">
        <v>5815.46</v>
      </c>
      <c r="MM23" s="97">
        <v>5251.75</v>
      </c>
      <c r="MN23" s="141">
        <v>3826.5</v>
      </c>
      <c r="MO23" s="97">
        <v>3226.43</v>
      </c>
      <c r="MP23" s="97">
        <v>3611.19</v>
      </c>
      <c r="MQ23" s="97">
        <v>3184.16</v>
      </c>
      <c r="MR23" s="154">
        <v>3321.54</v>
      </c>
      <c r="MS23" s="155">
        <v>3964.04</v>
      </c>
      <c r="MT23" s="155">
        <v>4341.13</v>
      </c>
      <c r="MU23" s="155">
        <v>3779.4</v>
      </c>
      <c r="MV23" s="155">
        <v>3888.16</v>
      </c>
      <c r="MW23" s="156">
        <v>3847.15</v>
      </c>
      <c r="MX23" s="97">
        <v>3881.14</v>
      </c>
      <c r="MY23" s="97">
        <v>3906.11</v>
      </c>
      <c r="MZ23" s="97">
        <v>3903.54</v>
      </c>
      <c r="NA23" s="97">
        <v>3823.37</v>
      </c>
      <c r="NB23" s="97">
        <v>3598.3</v>
      </c>
      <c r="NC23" s="107">
        <v>3901.28</v>
      </c>
      <c r="ND23" s="97">
        <v>4537.3</v>
      </c>
      <c r="NE23" s="97">
        <v>4441.26</v>
      </c>
      <c r="NF23" s="97">
        <v>4537.1400000000003</v>
      </c>
      <c r="NG23" s="4">
        <v>4296.24</v>
      </c>
      <c r="NH23" s="179">
        <v>4260.8599999999997</v>
      </c>
      <c r="NI23" s="183">
        <v>4248.93</v>
      </c>
      <c r="NJ23" s="97">
        <v>4045.8</v>
      </c>
      <c r="NK23" s="97">
        <v>4186.09</v>
      </c>
      <c r="NL23" s="97">
        <v>4534.6499999999996</v>
      </c>
      <c r="NM23" s="154">
        <v>4893.87</v>
      </c>
      <c r="NN23" s="155">
        <v>4780.99</v>
      </c>
      <c r="NO23" s="187">
        <v>4760</v>
      </c>
      <c r="NP23" s="155">
        <v>4504.26</v>
      </c>
      <c r="NQ23" s="155">
        <v>4320.9799999999996</v>
      </c>
      <c r="NR23" s="187">
        <v>4381.83</v>
      </c>
      <c r="NS23" s="155">
        <v>4677.87</v>
      </c>
      <c r="NT23" s="155">
        <v>4782.1400000000003</v>
      </c>
      <c r="NU23" s="156">
        <v>5695.56</v>
      </c>
      <c r="NV23" s="4">
        <v>6113.93</v>
      </c>
      <c r="NW23" s="4">
        <v>5812.11</v>
      </c>
      <c r="NX23" s="4">
        <v>5606.37</v>
      </c>
      <c r="NY23" s="4">
        <v>5666.75</v>
      </c>
      <c r="NZ23" s="4">
        <v>6080.19</v>
      </c>
      <c r="OA23" s="4">
        <v>6437.95</v>
      </c>
      <c r="OB23" s="4">
        <v>6895.69</v>
      </c>
      <c r="OC23" s="4">
        <v>7425.45</v>
      </c>
      <c r="OD23" s="4">
        <v>7752.26</v>
      </c>
      <c r="OE23" s="4">
        <v>8122.47</v>
      </c>
      <c r="OF23" s="4">
        <v>8122.78</v>
      </c>
      <c r="OG23" s="141">
        <v>8068.62</v>
      </c>
    </row>
    <row r="24" spans="1:397" s="50" customFormat="1" ht="15" customHeight="1" x14ac:dyDescent="0.25">
      <c r="A24" s="48" t="s">
        <v>18</v>
      </c>
      <c r="B24" s="20">
        <v>11.6</v>
      </c>
      <c r="C24" s="20">
        <v>11.9</v>
      </c>
      <c r="D24" s="20">
        <v>12.28</v>
      </c>
      <c r="E24" s="20">
        <v>11.46</v>
      </c>
      <c r="F24" s="20">
        <v>11.84</v>
      </c>
      <c r="G24" s="20">
        <v>12.46</v>
      </c>
      <c r="H24" s="20">
        <v>14.15</v>
      </c>
      <c r="I24" s="20">
        <v>14.08</v>
      </c>
      <c r="J24" s="20">
        <v>14.21</v>
      </c>
      <c r="K24" s="20">
        <v>15.24</v>
      </c>
      <c r="L24" s="20">
        <v>18.53</v>
      </c>
      <c r="M24" s="20">
        <v>19.559999999999999</v>
      </c>
      <c r="N24" s="20">
        <v>24.58</v>
      </c>
      <c r="O24" s="20">
        <v>30.18</v>
      </c>
      <c r="P24" s="20">
        <v>27.76</v>
      </c>
      <c r="Q24" s="20">
        <v>24.62</v>
      </c>
      <c r="R24" s="20">
        <v>20.54</v>
      </c>
      <c r="S24" s="20">
        <v>20.22</v>
      </c>
      <c r="T24" s="20">
        <v>20.39</v>
      </c>
      <c r="U24" s="20">
        <v>21.82</v>
      </c>
      <c r="V24" s="20">
        <v>23.89</v>
      </c>
      <c r="W24" s="20">
        <v>18.010000000000002</v>
      </c>
      <c r="X24" s="20">
        <v>17.36</v>
      </c>
      <c r="Y24" s="20">
        <v>16.309999999999999</v>
      </c>
      <c r="Z24" s="20">
        <v>16.3</v>
      </c>
      <c r="AA24" s="20">
        <v>13.8</v>
      </c>
      <c r="AB24" s="20">
        <v>13.6</v>
      </c>
      <c r="AC24" s="20">
        <v>12.2</v>
      </c>
      <c r="AD24" s="20">
        <v>11.5</v>
      </c>
      <c r="AE24" s="20">
        <v>11.2</v>
      </c>
      <c r="AF24" s="20">
        <v>11.3</v>
      </c>
      <c r="AG24" s="20">
        <v>11.5</v>
      </c>
      <c r="AH24" s="20">
        <v>10.199999999999999</v>
      </c>
      <c r="AI24" s="20">
        <v>10.7</v>
      </c>
      <c r="AJ24" s="20">
        <v>10.9</v>
      </c>
      <c r="AK24" s="20">
        <v>11.2</v>
      </c>
      <c r="AL24" s="20">
        <v>11.4</v>
      </c>
      <c r="AM24" s="20">
        <v>11.5</v>
      </c>
      <c r="AN24" s="20">
        <v>11.4</v>
      </c>
      <c r="AO24" s="20">
        <v>10.8</v>
      </c>
      <c r="AP24" s="20">
        <v>10.6</v>
      </c>
      <c r="AQ24" s="20">
        <v>9.8000000000000007</v>
      </c>
      <c r="AR24" s="20">
        <v>9.3000000000000007</v>
      </c>
      <c r="AS24" s="20">
        <v>9.4</v>
      </c>
      <c r="AT24" s="20">
        <v>9.8000000000000007</v>
      </c>
      <c r="AU24" s="20">
        <v>10.6</v>
      </c>
      <c r="AV24" s="20">
        <v>10.6</v>
      </c>
      <c r="AW24" s="20">
        <v>10.7</v>
      </c>
      <c r="AX24" s="20">
        <v>11.2</v>
      </c>
      <c r="AY24" s="20">
        <v>11.2</v>
      </c>
      <c r="AZ24" s="20">
        <v>11</v>
      </c>
      <c r="BA24" s="20">
        <v>13</v>
      </c>
      <c r="BB24" s="20">
        <v>12.8</v>
      </c>
      <c r="BC24" s="20">
        <v>13.8</v>
      </c>
      <c r="BD24" s="20">
        <v>15.2</v>
      </c>
      <c r="BE24" s="20">
        <v>14.7</v>
      </c>
      <c r="BF24" s="20">
        <v>13.8</v>
      </c>
      <c r="BG24" s="20">
        <v>12.9</v>
      </c>
      <c r="BH24" s="20">
        <v>11.9</v>
      </c>
      <c r="BI24" s="20">
        <v>12.5</v>
      </c>
      <c r="BJ24" s="20">
        <v>11.9</v>
      </c>
      <c r="BK24" s="20">
        <v>12.5</v>
      </c>
      <c r="BL24" s="20">
        <v>13.1</v>
      </c>
      <c r="BM24" s="20">
        <v>14.3</v>
      </c>
      <c r="BN24" s="20">
        <v>12.6</v>
      </c>
      <c r="BO24" s="20">
        <v>10.8</v>
      </c>
      <c r="BP24" s="20">
        <v>9.6999999999999993</v>
      </c>
      <c r="BQ24" s="20">
        <v>8.1999999999999993</v>
      </c>
      <c r="BR24" s="20">
        <v>8.3000000000000007</v>
      </c>
      <c r="BS24" s="20">
        <v>8.3000000000000007</v>
      </c>
      <c r="BT24" s="20">
        <v>9.6</v>
      </c>
      <c r="BU24" s="20">
        <v>9</v>
      </c>
      <c r="BV24" s="20">
        <v>8.6999999999999993</v>
      </c>
      <c r="BW24" s="20">
        <v>8.6</v>
      </c>
      <c r="BX24" s="20">
        <v>8.1</v>
      </c>
      <c r="BY24" s="20">
        <v>8.3000000000000007</v>
      </c>
      <c r="BZ24" s="20">
        <v>8.5</v>
      </c>
      <c r="CA24" s="20">
        <v>6</v>
      </c>
      <c r="CB24" s="20">
        <v>6.6</v>
      </c>
      <c r="CC24" s="20">
        <v>6.5</v>
      </c>
      <c r="CD24" s="20">
        <v>6.6</v>
      </c>
      <c r="CE24" s="20">
        <v>6.2</v>
      </c>
      <c r="CF24" s="20">
        <v>6.5</v>
      </c>
      <c r="CG24" s="20">
        <v>6.6</v>
      </c>
      <c r="CH24" s="20">
        <v>6.4</v>
      </c>
      <c r="CI24" s="20">
        <v>6.2</v>
      </c>
      <c r="CJ24" s="20">
        <v>5.7</v>
      </c>
      <c r="CK24" s="20">
        <v>5.5</v>
      </c>
      <c r="CL24" s="20">
        <v>5.5</v>
      </c>
      <c r="CM24" s="20">
        <v>5.9</v>
      </c>
      <c r="CN24" s="20">
        <v>5.9</v>
      </c>
      <c r="CO24" s="20">
        <v>5.7</v>
      </c>
      <c r="CP24" s="20">
        <v>6</v>
      </c>
      <c r="CQ24" s="20">
        <v>5.7</v>
      </c>
      <c r="CR24" s="20">
        <v>5</v>
      </c>
      <c r="CS24" s="20">
        <v>5.2</v>
      </c>
      <c r="CT24" s="20">
        <v>5.2</v>
      </c>
      <c r="CU24" s="20">
        <v>5.2</v>
      </c>
      <c r="CV24" s="20">
        <v>4.8</v>
      </c>
      <c r="CW24" s="20">
        <v>4.7</v>
      </c>
      <c r="CX24" s="20">
        <v>4.7</v>
      </c>
      <c r="CY24" s="20">
        <v>5.0999999999999996</v>
      </c>
      <c r="CZ24" s="20">
        <v>5</v>
      </c>
      <c r="DA24" s="20">
        <v>4.8</v>
      </c>
      <c r="DB24" s="20">
        <v>4.8</v>
      </c>
      <c r="DC24" s="20">
        <v>6</v>
      </c>
      <c r="DD24" s="20">
        <v>6.3</v>
      </c>
      <c r="DE24" s="20">
        <v>7.5</v>
      </c>
      <c r="DF24" s="20">
        <v>6.7</v>
      </c>
      <c r="DG24" s="20">
        <v>7.2</v>
      </c>
      <c r="DH24" s="20">
        <v>7.8</v>
      </c>
      <c r="DI24" s="20">
        <v>7.9</v>
      </c>
      <c r="DJ24" s="20">
        <v>8.6999999999999993</v>
      </c>
      <c r="DK24" s="20">
        <v>9.9</v>
      </c>
      <c r="DL24" s="20">
        <v>10</v>
      </c>
      <c r="DM24" s="20">
        <v>10.8</v>
      </c>
      <c r="DN24" s="20">
        <v>12.5</v>
      </c>
      <c r="DO24" s="20">
        <v>12.6</v>
      </c>
      <c r="DP24" s="20">
        <v>12.1</v>
      </c>
      <c r="DQ24" s="20">
        <v>12.1</v>
      </c>
      <c r="DR24" s="20">
        <v>12</v>
      </c>
      <c r="DS24" s="20">
        <v>11.4</v>
      </c>
      <c r="DT24" s="20">
        <v>9.8000000000000007</v>
      </c>
      <c r="DU24" s="20">
        <v>10.7</v>
      </c>
      <c r="DV24" s="20">
        <v>10.5</v>
      </c>
      <c r="DW24" s="20">
        <v>12.7</v>
      </c>
      <c r="DX24" s="20">
        <v>11.2</v>
      </c>
      <c r="DY24" s="20">
        <v>11.6</v>
      </c>
      <c r="DZ24" s="20">
        <v>13.7</v>
      </c>
      <c r="EA24" s="20">
        <v>15.2</v>
      </c>
      <c r="EB24" s="20">
        <v>13.1</v>
      </c>
      <c r="EC24" s="20">
        <v>11.1</v>
      </c>
      <c r="ED24" s="20">
        <v>12.6</v>
      </c>
      <c r="EE24" s="20">
        <v>12.5</v>
      </c>
      <c r="EF24" s="20">
        <v>11.9</v>
      </c>
      <c r="EG24" s="20">
        <v>11.2</v>
      </c>
      <c r="EH24" s="20">
        <v>11.4</v>
      </c>
      <c r="EI24" s="20">
        <v>10.8</v>
      </c>
      <c r="EJ24" s="20">
        <v>10.6</v>
      </c>
      <c r="EK24" s="20">
        <v>10</v>
      </c>
      <c r="EL24" s="20">
        <v>10.4</v>
      </c>
      <c r="EM24" s="20">
        <v>11</v>
      </c>
      <c r="EN24" s="20">
        <v>10.3</v>
      </c>
      <c r="EO24" s="20">
        <v>10.8</v>
      </c>
      <c r="EP24" s="20">
        <v>11.9</v>
      </c>
      <c r="EQ24" s="20">
        <v>12.3</v>
      </c>
      <c r="ER24" s="20">
        <v>12.6</v>
      </c>
      <c r="ES24" s="20">
        <v>13.2</v>
      </c>
      <c r="ET24" s="20">
        <v>14</v>
      </c>
      <c r="EU24" s="20">
        <v>13.8</v>
      </c>
      <c r="EV24" s="20">
        <v>16.329999999999998</v>
      </c>
      <c r="EW24" s="20">
        <v>16.53</v>
      </c>
      <c r="EX24" s="20">
        <v>16.98</v>
      </c>
      <c r="EY24" s="20">
        <v>17.5</v>
      </c>
      <c r="EZ24" s="20">
        <v>15</v>
      </c>
      <c r="FA24" s="20">
        <v>12.39</v>
      </c>
      <c r="FB24" s="20">
        <v>13.91</v>
      </c>
      <c r="FC24" s="20">
        <v>14.39</v>
      </c>
      <c r="FD24" s="20">
        <v>14.8</v>
      </c>
      <c r="FE24" s="20">
        <v>14.13</v>
      </c>
      <c r="FF24" s="20">
        <v>13.59</v>
      </c>
      <c r="FG24" s="20">
        <v>11.79</v>
      </c>
      <c r="FH24" s="21">
        <v>12.3</v>
      </c>
      <c r="FI24" s="21">
        <v>12.3</v>
      </c>
      <c r="FJ24" s="21">
        <v>13.3</v>
      </c>
      <c r="FK24" s="20">
        <v>13.74</v>
      </c>
      <c r="FL24" s="65">
        <v>14.84</v>
      </c>
      <c r="FM24" s="65">
        <v>13.95</v>
      </c>
      <c r="FN24" s="20">
        <v>15.2</v>
      </c>
      <c r="FO24" s="20">
        <v>15.3</v>
      </c>
      <c r="FP24" s="20">
        <v>13.2</v>
      </c>
      <c r="FQ24" s="20">
        <v>13.2</v>
      </c>
      <c r="FR24" s="20">
        <v>12</v>
      </c>
      <c r="FS24" s="20">
        <v>12.4</v>
      </c>
      <c r="FT24" s="20">
        <v>11.8</v>
      </c>
      <c r="FU24" s="20">
        <v>12.19</v>
      </c>
      <c r="FV24" s="20">
        <v>12.31</v>
      </c>
      <c r="FW24" s="20">
        <v>12.23</v>
      </c>
      <c r="FX24" s="20">
        <v>11.92</v>
      </c>
      <c r="FY24" s="20">
        <v>11.62</v>
      </c>
      <c r="FZ24" s="20">
        <v>10.89</v>
      </c>
      <c r="GA24" s="20">
        <v>11.28</v>
      </c>
      <c r="GB24" s="20">
        <v>10.36</v>
      </c>
      <c r="GC24" s="20">
        <v>9.83</v>
      </c>
      <c r="GD24" s="20">
        <v>9.65</v>
      </c>
      <c r="GE24" s="20">
        <v>8.68</v>
      </c>
      <c r="GF24" s="20">
        <v>8.65</v>
      </c>
      <c r="GG24" s="20">
        <v>8.44</v>
      </c>
      <c r="GH24" s="20">
        <v>7.37</v>
      </c>
      <c r="GI24" s="20">
        <v>6.48</v>
      </c>
      <c r="GJ24" s="20">
        <v>5.83</v>
      </c>
      <c r="GK24" s="20">
        <v>5.38</v>
      </c>
      <c r="GL24" s="20">
        <v>6.53</v>
      </c>
      <c r="GM24" s="20">
        <v>6.08</v>
      </c>
      <c r="GN24" s="20">
        <v>5.8</v>
      </c>
      <c r="GO24" s="20">
        <v>6.52</v>
      </c>
      <c r="GP24" s="20">
        <v>8.69</v>
      </c>
      <c r="GQ24" s="20">
        <v>9.9</v>
      </c>
      <c r="GR24" s="20">
        <v>10.73</v>
      </c>
      <c r="GS24" s="20">
        <v>11.14</v>
      </c>
      <c r="GT24" s="20">
        <v>13.88</v>
      </c>
      <c r="GU24" s="20">
        <v>14.44</v>
      </c>
      <c r="GV24" s="20">
        <v>14.24</v>
      </c>
      <c r="GW24" s="20">
        <v>16.55</v>
      </c>
      <c r="GX24" s="20">
        <v>17.8</v>
      </c>
      <c r="GY24" s="20">
        <v>18.600000000000001</v>
      </c>
      <c r="GZ24" s="20">
        <v>18.399999999999999</v>
      </c>
      <c r="HA24" s="20">
        <v>20.67</v>
      </c>
      <c r="HB24" s="20">
        <v>20.93</v>
      </c>
      <c r="HC24" s="20">
        <v>23.31</v>
      </c>
      <c r="HD24" s="20">
        <v>21.62</v>
      </c>
      <c r="HE24" s="20">
        <v>23.79</v>
      </c>
      <c r="HF24" s="20">
        <v>27.84</v>
      </c>
      <c r="HG24" s="20">
        <v>25.15</v>
      </c>
      <c r="HH24" s="20">
        <v>24.27</v>
      </c>
      <c r="HI24" s="20">
        <v>25.2</v>
      </c>
      <c r="HJ24" s="20">
        <v>27.11</v>
      </c>
      <c r="HK24" s="20">
        <v>29.52</v>
      </c>
      <c r="HL24" s="20">
        <v>25.73</v>
      </c>
      <c r="HM24" s="20">
        <v>26.23</v>
      </c>
      <c r="HN24" s="20">
        <v>26.46</v>
      </c>
      <c r="HO24" s="20">
        <v>22.79</v>
      </c>
      <c r="HP24" s="20">
        <v>21.58</v>
      </c>
      <c r="HQ24" s="20">
        <v>20</v>
      </c>
      <c r="HR24" s="20">
        <v>17.579999999999998</v>
      </c>
      <c r="HS24" s="20">
        <v>16.260000000000002</v>
      </c>
      <c r="HT24" s="20">
        <v>15.86</v>
      </c>
      <c r="HU24" s="20">
        <v>15.82</v>
      </c>
      <c r="HV24" s="20">
        <v>14.9</v>
      </c>
      <c r="HW24" s="20">
        <v>14.3</v>
      </c>
      <c r="HX24" s="20">
        <v>14.39</v>
      </c>
      <c r="HY24" s="20">
        <v>13.92</v>
      </c>
      <c r="HZ24" s="20">
        <v>12.47</v>
      </c>
      <c r="IA24" s="20">
        <v>13.62</v>
      </c>
      <c r="IB24" s="20">
        <v>13.53</v>
      </c>
      <c r="IC24" s="20">
        <v>14.02</v>
      </c>
      <c r="ID24" s="20">
        <v>16.170000000000002</v>
      </c>
      <c r="IE24" s="20">
        <v>14.59</v>
      </c>
      <c r="IF24" s="20">
        <v>14.19</v>
      </c>
      <c r="IG24" s="20">
        <v>15.93</v>
      </c>
      <c r="IH24" s="49">
        <v>16.46</v>
      </c>
      <c r="II24" s="49">
        <v>15.23</v>
      </c>
      <c r="IJ24" s="49">
        <v>15.51</v>
      </c>
      <c r="IK24" s="20">
        <v>16.079999999999998</v>
      </c>
      <c r="IL24" s="20">
        <v>17.55</v>
      </c>
      <c r="IM24" s="20">
        <v>16.579999999999998</v>
      </c>
      <c r="IN24" s="20">
        <v>15.98</v>
      </c>
      <c r="IO24" s="20">
        <v>16.59</v>
      </c>
      <c r="IP24" s="20">
        <v>16.5</v>
      </c>
      <c r="IQ24" s="20">
        <v>15.75</v>
      </c>
      <c r="IR24" s="20">
        <v>14.98</v>
      </c>
      <c r="IS24" s="20">
        <v>15.92</v>
      </c>
      <c r="IT24" s="20">
        <v>16.88</v>
      </c>
      <c r="IU24" s="20">
        <v>15.75</v>
      </c>
      <c r="IV24" s="20">
        <v>15.93</v>
      </c>
      <c r="IW24" s="20">
        <v>16.62</v>
      </c>
      <c r="IX24" s="20">
        <v>16.72</v>
      </c>
      <c r="IY24" s="20">
        <v>17.190000000000001</v>
      </c>
      <c r="IZ24" s="20">
        <v>18.39</v>
      </c>
      <c r="JA24" s="21">
        <v>19.010000000000002</v>
      </c>
      <c r="JB24" s="20">
        <v>19.72</v>
      </c>
      <c r="JC24" s="20">
        <v>19.600000000000001</v>
      </c>
      <c r="JD24" s="20">
        <v>19.25</v>
      </c>
      <c r="JE24" s="20">
        <v>19.66</v>
      </c>
      <c r="JF24" s="20">
        <v>19.38</v>
      </c>
      <c r="JG24" s="20">
        <v>19.940000000000001</v>
      </c>
      <c r="JH24" s="20">
        <v>18.38</v>
      </c>
      <c r="JI24" s="20">
        <v>19.43</v>
      </c>
      <c r="JJ24" s="20">
        <v>19.47</v>
      </c>
      <c r="JK24" s="20">
        <v>17.84</v>
      </c>
      <c r="JL24" s="20">
        <v>18.98</v>
      </c>
      <c r="JM24" s="20">
        <v>19.399999999999999</v>
      </c>
      <c r="JN24" s="20">
        <v>18.38</v>
      </c>
      <c r="JO24" s="20">
        <v>18.260000000000002</v>
      </c>
      <c r="JP24" s="20">
        <v>17.97</v>
      </c>
      <c r="JQ24" s="20">
        <v>17.98</v>
      </c>
      <c r="JR24" s="20">
        <v>16.57</v>
      </c>
      <c r="JS24" s="20">
        <v>16.2</v>
      </c>
      <c r="JT24" s="20">
        <v>15.29</v>
      </c>
      <c r="JU24" s="20">
        <v>16.420000000000002</v>
      </c>
      <c r="JV24" s="20">
        <v>14.04</v>
      </c>
      <c r="JW24" s="55">
        <v>12.98</v>
      </c>
      <c r="JX24" s="62">
        <v>13.1</v>
      </c>
      <c r="JY24" s="62">
        <v>13.45</v>
      </c>
      <c r="JZ24" s="62">
        <v>13.43</v>
      </c>
      <c r="KA24" s="62">
        <v>13.28</v>
      </c>
      <c r="KB24" s="62">
        <v>12.95</v>
      </c>
      <c r="KC24" s="62">
        <v>12.37</v>
      </c>
      <c r="KD24" s="62">
        <v>12.07</v>
      </c>
      <c r="KE24" s="62">
        <v>12.03</v>
      </c>
      <c r="KF24" s="62">
        <v>11.87</v>
      </c>
      <c r="KG24" s="62">
        <v>12.62</v>
      </c>
      <c r="KH24" s="62">
        <v>11.7</v>
      </c>
      <c r="KI24" s="62">
        <v>11.48</v>
      </c>
      <c r="KJ24" s="62">
        <v>10.75</v>
      </c>
      <c r="KK24" s="62">
        <v>10.75</v>
      </c>
      <c r="KL24" s="89">
        <v>10.71</v>
      </c>
      <c r="KM24" s="98">
        <v>10.99</v>
      </c>
      <c r="KN24" s="98">
        <v>10.71</v>
      </c>
      <c r="KO24" s="98">
        <v>10.6</v>
      </c>
      <c r="KP24" s="98">
        <v>10.69</v>
      </c>
      <c r="KQ24" s="98">
        <v>11.05</v>
      </c>
      <c r="KR24" s="98">
        <v>11.19</v>
      </c>
      <c r="KS24" s="98">
        <v>10.74</v>
      </c>
      <c r="KT24" s="98">
        <v>10.73</v>
      </c>
      <c r="KU24" s="98">
        <v>10.39</v>
      </c>
      <c r="KV24" s="98">
        <v>9.7899999999999991</v>
      </c>
      <c r="KW24" s="98">
        <v>9.4600000000000009</v>
      </c>
      <c r="KX24" s="98">
        <v>9.18</v>
      </c>
      <c r="KY24" s="98">
        <v>9.36</v>
      </c>
      <c r="KZ24" s="98">
        <v>9.49</v>
      </c>
      <c r="LA24" s="108">
        <v>9.65</v>
      </c>
      <c r="LB24" s="98">
        <v>9.3699999999999992</v>
      </c>
      <c r="LC24" s="98">
        <v>9.1</v>
      </c>
      <c r="LD24" s="98">
        <v>8.7200000000000006</v>
      </c>
      <c r="LE24" s="98">
        <v>8.61</v>
      </c>
      <c r="LF24" s="98">
        <v>8.3699999999999992</v>
      </c>
      <c r="LG24" s="98">
        <v>8.6</v>
      </c>
      <c r="LH24" s="98">
        <v>9.5299999999999994</v>
      </c>
      <c r="LI24" s="98">
        <v>9.9700000000000006</v>
      </c>
      <c r="LJ24" s="98">
        <v>10.18</v>
      </c>
      <c r="LK24" s="98">
        <v>10.56</v>
      </c>
      <c r="LL24" s="98">
        <v>10.97</v>
      </c>
      <c r="LM24" s="98">
        <v>10.83</v>
      </c>
      <c r="LN24" s="98">
        <v>10.91</v>
      </c>
      <c r="LO24" s="98">
        <v>10.23</v>
      </c>
      <c r="LP24" s="98">
        <v>8.3800000000000008</v>
      </c>
      <c r="LQ24" s="218"/>
      <c r="LR24" s="98">
        <v>8.92</v>
      </c>
      <c r="LS24" s="98">
        <v>9.5</v>
      </c>
      <c r="LT24" s="113">
        <v>9.5</v>
      </c>
      <c r="LU24" s="50">
        <v>8.98</v>
      </c>
      <c r="LV24" s="124">
        <v>10.1</v>
      </c>
      <c r="LW24" s="98">
        <v>9.6999999999999993</v>
      </c>
      <c r="LX24" s="98">
        <v>10.61</v>
      </c>
      <c r="LY24" s="98">
        <v>11.25</v>
      </c>
      <c r="LZ24" s="132">
        <v>14.41</v>
      </c>
      <c r="MA24" s="132">
        <v>13.17</v>
      </c>
      <c r="MB24" s="132">
        <v>14.9</v>
      </c>
      <c r="MC24" s="98">
        <v>14.56</v>
      </c>
      <c r="MD24" s="98">
        <v>14.22</v>
      </c>
      <c r="ME24" s="98">
        <v>10.59</v>
      </c>
      <c r="MF24" s="98">
        <v>10.49</v>
      </c>
      <c r="MG24" s="98">
        <v>10.91</v>
      </c>
      <c r="MH24" s="98">
        <v>11.47</v>
      </c>
      <c r="MI24" s="98">
        <v>12.32</v>
      </c>
      <c r="MJ24" s="98">
        <v>13.89</v>
      </c>
      <c r="MK24" s="98">
        <v>13.63</v>
      </c>
      <c r="ML24" s="50">
        <v>14.45</v>
      </c>
      <c r="MM24" s="98">
        <v>12.04</v>
      </c>
      <c r="MN24" s="142">
        <v>8.77</v>
      </c>
      <c r="MO24" s="98">
        <v>6.39</v>
      </c>
      <c r="MP24" s="98">
        <v>6.27</v>
      </c>
      <c r="MQ24" s="98">
        <v>4.74</v>
      </c>
      <c r="MR24" s="157">
        <v>4.9000000000000004</v>
      </c>
      <c r="MS24" s="158">
        <v>5.49</v>
      </c>
      <c r="MT24" s="158">
        <v>5.69</v>
      </c>
      <c r="MU24" s="158">
        <v>4.96</v>
      </c>
      <c r="MV24" s="158">
        <v>5.0999999999999996</v>
      </c>
      <c r="MW24" s="159">
        <v>4.95</v>
      </c>
      <c r="MX24" s="98">
        <v>4.99</v>
      </c>
      <c r="MY24" s="98">
        <v>5.0199999999999996</v>
      </c>
      <c r="MZ24" s="98">
        <v>5.0199999999999996</v>
      </c>
      <c r="NA24" s="98">
        <v>4.92</v>
      </c>
      <c r="NB24" s="98">
        <v>4.63</v>
      </c>
      <c r="NC24" s="108">
        <v>5.0199999999999996</v>
      </c>
      <c r="ND24" s="98">
        <v>5.84</v>
      </c>
      <c r="NE24" s="98">
        <v>5.91</v>
      </c>
      <c r="NF24" s="98">
        <v>6.06</v>
      </c>
      <c r="NG24" s="50">
        <v>11.08</v>
      </c>
      <c r="NH24" s="180">
        <v>11.13</v>
      </c>
      <c r="NI24" s="50">
        <v>11.1</v>
      </c>
      <c r="NJ24" s="98">
        <v>10.81</v>
      </c>
      <c r="NK24" s="98">
        <v>9.1199999999999992</v>
      </c>
      <c r="NL24" s="98">
        <v>9.8699999999999992</v>
      </c>
      <c r="NM24" s="157">
        <v>10.66</v>
      </c>
      <c r="NN24" s="158">
        <v>10.02</v>
      </c>
      <c r="NO24" s="188">
        <v>9.73</v>
      </c>
      <c r="NP24" s="158">
        <v>9.1999999999999993</v>
      </c>
      <c r="NQ24" s="158">
        <v>8.68</v>
      </c>
      <c r="NR24" s="188">
        <v>8.02</v>
      </c>
      <c r="NS24" s="158">
        <v>8.5500000000000007</v>
      </c>
      <c r="NT24" s="158">
        <v>8.5399999999999991</v>
      </c>
      <c r="NU24" s="159">
        <v>8.89</v>
      </c>
      <c r="NV24" s="50">
        <v>9.5399999999999991</v>
      </c>
      <c r="NW24" s="50">
        <v>9.01</v>
      </c>
      <c r="NX24" s="50">
        <v>8.3000000000000007</v>
      </c>
      <c r="NY24" s="50">
        <v>8.39</v>
      </c>
      <c r="NZ24" s="50">
        <v>9.01</v>
      </c>
      <c r="OA24" s="50">
        <v>8.5399999999999991</v>
      </c>
      <c r="OB24" s="50">
        <v>9.14</v>
      </c>
      <c r="OC24" s="50">
        <v>9.81</v>
      </c>
      <c r="OD24" s="50">
        <v>9.59</v>
      </c>
      <c r="OE24" s="50">
        <v>10.06</v>
      </c>
      <c r="OF24" s="50">
        <v>11.16</v>
      </c>
      <c r="OG24" s="142">
        <v>10.73</v>
      </c>
    </row>
    <row r="25" spans="1:397" s="50" customFormat="1" ht="15" customHeight="1" x14ac:dyDescent="0.25">
      <c r="A25" s="48" t="s">
        <v>19</v>
      </c>
      <c r="B25" s="20">
        <v>2.1</v>
      </c>
      <c r="C25" s="20">
        <v>2.5</v>
      </c>
      <c r="D25" s="20">
        <v>2.4</v>
      </c>
      <c r="E25" s="20">
        <v>2.44</v>
      </c>
      <c r="F25" s="20">
        <v>2.35</v>
      </c>
      <c r="G25" s="20">
        <v>2.2200000000000002</v>
      </c>
      <c r="H25" s="20">
        <v>2.02</v>
      </c>
      <c r="I25" s="20">
        <v>2.02</v>
      </c>
      <c r="J25" s="20">
        <v>2.0099999999999998</v>
      </c>
      <c r="K25" s="20">
        <v>1.84</v>
      </c>
      <c r="L25" s="20">
        <v>1.51</v>
      </c>
      <c r="M25" s="20">
        <v>1.41</v>
      </c>
      <c r="N25" s="20">
        <v>1.25</v>
      </c>
      <c r="O25" s="20">
        <v>1.1599999999999999</v>
      </c>
      <c r="P25" s="20">
        <v>1.25</v>
      </c>
      <c r="Q25" s="20">
        <v>1.41</v>
      </c>
      <c r="R25" s="20">
        <v>1.48</v>
      </c>
      <c r="S25" s="20">
        <v>1.49</v>
      </c>
      <c r="T25" s="20">
        <v>1.48</v>
      </c>
      <c r="U25" s="20">
        <v>1.37</v>
      </c>
      <c r="V25" s="20">
        <v>1.21</v>
      </c>
      <c r="W25" s="20">
        <v>1.48</v>
      </c>
      <c r="X25" s="20">
        <v>1.55</v>
      </c>
      <c r="Y25" s="20">
        <v>1.65</v>
      </c>
      <c r="Z25" s="20">
        <v>1.7</v>
      </c>
      <c r="AA25" s="20">
        <v>1.9</v>
      </c>
      <c r="AB25" s="20">
        <v>1.9</v>
      </c>
      <c r="AC25" s="20">
        <v>2.2000000000000002</v>
      </c>
      <c r="AD25" s="20">
        <v>2.5</v>
      </c>
      <c r="AE25" s="20">
        <v>2.4</v>
      </c>
      <c r="AF25" s="20">
        <v>2.5</v>
      </c>
      <c r="AG25" s="20">
        <v>2.6</v>
      </c>
      <c r="AH25" s="20">
        <v>2.9</v>
      </c>
      <c r="AI25" s="20">
        <v>3.8</v>
      </c>
      <c r="AJ25" s="20">
        <v>3.9</v>
      </c>
      <c r="AK25" s="20">
        <v>4.3</v>
      </c>
      <c r="AL25" s="20">
        <v>4.2</v>
      </c>
      <c r="AM25" s="20">
        <v>3.7</v>
      </c>
      <c r="AN25" s="20">
        <v>3.9</v>
      </c>
      <c r="AO25" s="20">
        <v>4</v>
      </c>
      <c r="AP25" s="20">
        <v>4.2</v>
      </c>
      <c r="AQ25" s="20">
        <v>4.5999999999999996</v>
      </c>
      <c r="AR25" s="20">
        <v>4.7</v>
      </c>
      <c r="AS25" s="20">
        <v>4.5999999999999996</v>
      </c>
      <c r="AT25" s="20">
        <v>4.3</v>
      </c>
      <c r="AU25" s="20">
        <v>4.0999999999999996</v>
      </c>
      <c r="AV25" s="20">
        <v>4.0999999999999996</v>
      </c>
      <c r="AW25" s="20">
        <v>4.0999999999999996</v>
      </c>
      <c r="AX25" s="20">
        <v>3.9</v>
      </c>
      <c r="AY25" s="20">
        <v>4</v>
      </c>
      <c r="AZ25" s="20">
        <v>3.9</v>
      </c>
      <c r="BA25" s="20">
        <v>3.2</v>
      </c>
      <c r="BB25" s="20">
        <v>3.2</v>
      </c>
      <c r="BC25" s="20">
        <v>3</v>
      </c>
      <c r="BD25" s="20">
        <v>2.7</v>
      </c>
      <c r="BE25" s="20">
        <v>2.7</v>
      </c>
      <c r="BF25" s="20">
        <v>2.9</v>
      </c>
      <c r="BG25" s="20">
        <v>3.1</v>
      </c>
      <c r="BH25" s="20">
        <v>3.4</v>
      </c>
      <c r="BI25" s="20">
        <v>3.2</v>
      </c>
      <c r="BJ25" s="20">
        <v>3.4</v>
      </c>
      <c r="BK25" s="20">
        <v>3.2</v>
      </c>
      <c r="BL25" s="20">
        <v>3.1</v>
      </c>
      <c r="BM25" s="20">
        <v>2.8</v>
      </c>
      <c r="BN25" s="20">
        <v>3.3</v>
      </c>
      <c r="BO25" s="20">
        <v>3.9</v>
      </c>
      <c r="BP25" s="20">
        <v>4.4000000000000004</v>
      </c>
      <c r="BQ25" s="20">
        <v>5.2</v>
      </c>
      <c r="BR25" s="20">
        <v>5.0999999999999996</v>
      </c>
      <c r="BS25" s="20">
        <v>5.0999999999999996</v>
      </c>
      <c r="BT25" s="20">
        <v>4.4000000000000004</v>
      </c>
      <c r="BU25" s="20">
        <v>4.5</v>
      </c>
      <c r="BV25" s="20">
        <v>4.7</v>
      </c>
      <c r="BW25" s="20">
        <v>4.7</v>
      </c>
      <c r="BX25" s="20">
        <v>5</v>
      </c>
      <c r="BY25" s="20">
        <v>4.9000000000000004</v>
      </c>
      <c r="BZ25" s="20">
        <v>4.9000000000000004</v>
      </c>
      <c r="CA25" s="20">
        <v>5.8</v>
      </c>
      <c r="CB25" s="20">
        <v>5.2</v>
      </c>
      <c r="CC25" s="20">
        <v>5.3</v>
      </c>
      <c r="CD25" s="20">
        <v>5.2</v>
      </c>
      <c r="CE25" s="20">
        <v>5.6</v>
      </c>
      <c r="CF25" s="20">
        <v>5.3</v>
      </c>
      <c r="CG25" s="20">
        <v>5.0999999999999996</v>
      </c>
      <c r="CH25" s="20">
        <v>5.3</v>
      </c>
      <c r="CI25" s="20">
        <v>5.4</v>
      </c>
      <c r="CJ25" s="20">
        <v>5.9</v>
      </c>
      <c r="CK25" s="20">
        <v>6.1</v>
      </c>
      <c r="CL25" s="20">
        <v>6.1</v>
      </c>
      <c r="CM25" s="20">
        <v>5.6</v>
      </c>
      <c r="CN25" s="20">
        <v>5.6</v>
      </c>
      <c r="CO25" s="20">
        <v>5.8</v>
      </c>
      <c r="CP25" s="20">
        <v>5.5</v>
      </c>
      <c r="CQ25" s="20">
        <v>5.8</v>
      </c>
      <c r="CR25" s="20">
        <v>6.7</v>
      </c>
      <c r="CS25" s="20">
        <v>6.5</v>
      </c>
      <c r="CT25" s="20">
        <v>6.7</v>
      </c>
      <c r="CU25" s="20">
        <v>8</v>
      </c>
      <c r="CV25" s="20">
        <v>8.5</v>
      </c>
      <c r="CW25" s="20">
        <v>8.5</v>
      </c>
      <c r="CX25" s="20">
        <v>8.6999999999999993</v>
      </c>
      <c r="CY25" s="20">
        <v>9.1</v>
      </c>
      <c r="CZ25" s="20">
        <v>9.6999999999999993</v>
      </c>
      <c r="DA25" s="20">
        <v>10.199999999999999</v>
      </c>
      <c r="DB25" s="20">
        <v>10.4</v>
      </c>
      <c r="DC25" s="20">
        <v>8.1</v>
      </c>
      <c r="DD25" s="20">
        <v>7.7</v>
      </c>
      <c r="DE25" s="20">
        <v>6.8</v>
      </c>
      <c r="DF25" s="20">
        <v>7.5</v>
      </c>
      <c r="DG25" s="20">
        <v>7</v>
      </c>
      <c r="DH25" s="20">
        <v>6.8</v>
      </c>
      <c r="DI25" s="20">
        <v>6.7</v>
      </c>
      <c r="DJ25" s="20">
        <v>5.9</v>
      </c>
      <c r="DK25" s="20">
        <v>5.0999999999999996</v>
      </c>
      <c r="DL25" s="20">
        <v>5.2</v>
      </c>
      <c r="DM25" s="20">
        <v>4.8</v>
      </c>
      <c r="DN25" s="20">
        <v>4.2</v>
      </c>
      <c r="DO25" s="20">
        <v>4.3</v>
      </c>
      <c r="DP25" s="20">
        <v>4.4000000000000004</v>
      </c>
      <c r="DQ25" s="20">
        <v>4.3</v>
      </c>
      <c r="DR25" s="20">
        <v>4.4000000000000004</v>
      </c>
      <c r="DS25" s="20">
        <v>4.5999999999999996</v>
      </c>
      <c r="DT25" s="20">
        <v>4.9000000000000004</v>
      </c>
      <c r="DU25" s="20">
        <v>4.4000000000000004</v>
      </c>
      <c r="DV25" s="20">
        <v>3.9</v>
      </c>
      <c r="DW25" s="20">
        <v>3.2</v>
      </c>
      <c r="DX25" s="20">
        <v>3.3</v>
      </c>
      <c r="DY25" s="20">
        <v>3.1</v>
      </c>
      <c r="DZ25" s="20">
        <v>2.6</v>
      </c>
      <c r="EA25" s="20">
        <v>2.2999999999999998</v>
      </c>
      <c r="EB25" s="20">
        <v>2.7</v>
      </c>
      <c r="EC25" s="20">
        <v>3.1</v>
      </c>
      <c r="ED25" s="20">
        <v>2.8</v>
      </c>
      <c r="EE25" s="20">
        <v>2.8</v>
      </c>
      <c r="EF25" s="20">
        <v>3.1</v>
      </c>
      <c r="EG25" s="20">
        <v>3.3</v>
      </c>
      <c r="EH25" s="20">
        <v>3.2</v>
      </c>
      <c r="EI25" s="20">
        <v>3.2</v>
      </c>
      <c r="EJ25" s="20">
        <v>3.2</v>
      </c>
      <c r="EK25" s="20">
        <v>3.3</v>
      </c>
      <c r="EL25" s="20">
        <v>3.3</v>
      </c>
      <c r="EM25" s="20">
        <v>3.1</v>
      </c>
      <c r="EN25" s="20">
        <v>3.2</v>
      </c>
      <c r="EO25" s="20">
        <v>3.2</v>
      </c>
      <c r="EP25" s="20">
        <v>3</v>
      </c>
      <c r="EQ25" s="20">
        <v>2.8</v>
      </c>
      <c r="ER25" s="20">
        <v>2.8</v>
      </c>
      <c r="ES25" s="20">
        <v>2.7</v>
      </c>
      <c r="ET25" s="20">
        <v>2.5</v>
      </c>
      <c r="EU25" s="20">
        <v>2.5</v>
      </c>
      <c r="EV25" s="20">
        <v>3.07</v>
      </c>
      <c r="EW25" s="20">
        <v>2.8</v>
      </c>
      <c r="EX25" s="20">
        <v>2.0099999999999998</v>
      </c>
      <c r="EY25" s="20">
        <v>2</v>
      </c>
      <c r="EZ25" s="20">
        <v>2.2000000000000002</v>
      </c>
      <c r="FA25" s="20">
        <v>2.67</v>
      </c>
      <c r="FB25" s="20">
        <v>2.4</v>
      </c>
      <c r="FC25" s="20">
        <v>2.3199999999999998</v>
      </c>
      <c r="FD25" s="20">
        <v>2.2999999999999998</v>
      </c>
      <c r="FE25" s="20">
        <v>2.04</v>
      </c>
      <c r="FF25" s="20">
        <v>2.11</v>
      </c>
      <c r="FG25" s="20">
        <v>2.71</v>
      </c>
      <c r="FH25" s="21">
        <v>2.6</v>
      </c>
      <c r="FI25" s="21">
        <v>2.61</v>
      </c>
      <c r="FJ25" s="21">
        <v>2.41</v>
      </c>
      <c r="FK25" s="20">
        <v>2.33</v>
      </c>
      <c r="FL25" s="21">
        <v>2.0099999999999998</v>
      </c>
      <c r="FM25" s="21">
        <v>2.2000000000000002</v>
      </c>
      <c r="FN25" s="20">
        <v>2</v>
      </c>
      <c r="FO25" s="20">
        <v>2</v>
      </c>
      <c r="FP25" s="20">
        <v>2.2999999999999998</v>
      </c>
      <c r="FQ25" s="20">
        <v>2.2000000000000002</v>
      </c>
      <c r="FR25" s="20">
        <v>2.5</v>
      </c>
      <c r="FS25" s="20">
        <v>2.4</v>
      </c>
      <c r="FT25" s="20">
        <v>2.6</v>
      </c>
      <c r="FU25" s="20">
        <v>2.48</v>
      </c>
      <c r="FV25" s="20">
        <v>2.4500000000000002</v>
      </c>
      <c r="FW25" s="20">
        <v>2.44</v>
      </c>
      <c r="FX25" s="20">
        <v>2.4900000000000002</v>
      </c>
      <c r="FY25" s="20">
        <v>2.4900000000000002</v>
      </c>
      <c r="FZ25" s="20">
        <v>2.7</v>
      </c>
      <c r="GA25" s="20">
        <v>2.6</v>
      </c>
      <c r="GB25" s="20">
        <v>2.77</v>
      </c>
      <c r="GC25" s="20">
        <v>3.2</v>
      </c>
      <c r="GD25" s="20">
        <v>3.26</v>
      </c>
      <c r="GE25" s="20">
        <v>3.19</v>
      </c>
      <c r="GF25" s="20">
        <v>3.44</v>
      </c>
      <c r="GG25" s="20">
        <v>3.53</v>
      </c>
      <c r="GH25" s="20">
        <v>4</v>
      </c>
      <c r="GI25" s="20">
        <v>4.7300000000000004</v>
      </c>
      <c r="GJ25" s="20">
        <v>5.21</v>
      </c>
      <c r="GK25" s="20">
        <v>5.58</v>
      </c>
      <c r="GL25" s="20">
        <v>4.72</v>
      </c>
      <c r="GM25" s="20">
        <v>5.03</v>
      </c>
      <c r="GN25" s="20">
        <v>5.4</v>
      </c>
      <c r="GO25" s="20">
        <v>4.9000000000000004</v>
      </c>
      <c r="GP25" s="20">
        <v>4.26</v>
      </c>
      <c r="GQ25" s="20">
        <v>3.92</v>
      </c>
      <c r="GR25" s="20">
        <v>3.86</v>
      </c>
      <c r="GS25" s="20">
        <v>3.76</v>
      </c>
      <c r="GT25" s="20">
        <v>3.46</v>
      </c>
      <c r="GU25" s="20">
        <v>3.4</v>
      </c>
      <c r="GV25" s="20">
        <v>3.47</v>
      </c>
      <c r="GW25" s="20">
        <v>3</v>
      </c>
      <c r="GX25" s="20">
        <v>2.9</v>
      </c>
      <c r="GY25" s="20">
        <v>2.75</v>
      </c>
      <c r="GZ25" s="20">
        <v>2.7</v>
      </c>
      <c r="HA25" s="20">
        <v>2.4900000000000002</v>
      </c>
      <c r="HB25" s="20">
        <v>2.44</v>
      </c>
      <c r="HC25" s="20">
        <v>1.93</v>
      </c>
      <c r="HD25" s="20">
        <v>1.52</v>
      </c>
      <c r="HE25" s="20">
        <v>1.35</v>
      </c>
      <c r="HF25" s="20">
        <v>1.1200000000000001</v>
      </c>
      <c r="HG25" s="20">
        <v>1.1499999999999999</v>
      </c>
      <c r="HH25" s="20">
        <v>1.2</v>
      </c>
      <c r="HI25" s="20">
        <v>1.2</v>
      </c>
      <c r="HJ25" s="20">
        <v>1.08</v>
      </c>
      <c r="HK25" s="20">
        <v>0.95</v>
      </c>
      <c r="HL25" s="20">
        <v>1.3</v>
      </c>
      <c r="HM25" s="20">
        <v>1.28</v>
      </c>
      <c r="HN25" s="20">
        <v>1.27</v>
      </c>
      <c r="HO25" s="20">
        <v>1.45</v>
      </c>
      <c r="HP25" s="20">
        <v>1.42</v>
      </c>
      <c r="HQ25" s="20">
        <v>1.48</v>
      </c>
      <c r="HR25" s="20">
        <v>1.55</v>
      </c>
      <c r="HS25" s="20">
        <v>1.66</v>
      </c>
      <c r="HT25" s="20">
        <v>1.76</v>
      </c>
      <c r="HU25" s="20">
        <v>1.75</v>
      </c>
      <c r="HV25" s="20">
        <v>1.86</v>
      </c>
      <c r="HW25" s="20">
        <v>1.92</v>
      </c>
      <c r="HX25" s="20">
        <v>1.9</v>
      </c>
      <c r="HY25" s="20">
        <v>1.89</v>
      </c>
      <c r="HZ25" s="20">
        <v>2.4300000000000002</v>
      </c>
      <c r="IA25" s="20">
        <v>2.5299999999999998</v>
      </c>
      <c r="IB25" s="20">
        <v>2.54</v>
      </c>
      <c r="IC25" s="20">
        <v>2.4700000000000002</v>
      </c>
      <c r="ID25" s="20">
        <v>2.1800000000000002</v>
      </c>
      <c r="IE25" s="20">
        <v>2.38</v>
      </c>
      <c r="IF25" s="20">
        <v>2.4300000000000002</v>
      </c>
      <c r="IG25" s="20">
        <v>2.36</v>
      </c>
      <c r="IH25" s="49">
        <v>2.29</v>
      </c>
      <c r="II25" s="49">
        <v>2.35</v>
      </c>
      <c r="IJ25" s="49">
        <v>2.3199999999999998</v>
      </c>
      <c r="IK25" s="20">
        <v>2.25</v>
      </c>
      <c r="IL25" s="20">
        <v>2.0699999999999998</v>
      </c>
      <c r="IM25" s="20">
        <v>2.2599999999999998</v>
      </c>
      <c r="IN25" s="20">
        <v>2.59</v>
      </c>
      <c r="IO25" s="20">
        <v>2.67</v>
      </c>
      <c r="IP25" s="20">
        <v>2.7</v>
      </c>
      <c r="IQ25" s="20">
        <v>2.79</v>
      </c>
      <c r="IR25" s="20">
        <v>3.01</v>
      </c>
      <c r="IS25" s="20">
        <v>2.93</v>
      </c>
      <c r="IT25" s="20">
        <v>2.77</v>
      </c>
      <c r="IU25" s="20">
        <v>2.92</v>
      </c>
      <c r="IV25" s="20">
        <v>2.94</v>
      </c>
      <c r="IW25" s="20">
        <v>2.82</v>
      </c>
      <c r="IX25" s="20">
        <v>2.81</v>
      </c>
      <c r="IY25" s="20">
        <v>3.01</v>
      </c>
      <c r="IZ25" s="20">
        <v>2.83</v>
      </c>
      <c r="JA25" s="21">
        <v>2.75</v>
      </c>
      <c r="JB25" s="20">
        <v>2.67</v>
      </c>
      <c r="JC25" s="20">
        <v>2.77</v>
      </c>
      <c r="JD25" s="20">
        <v>2.13</v>
      </c>
      <c r="JE25" s="20">
        <v>2.09</v>
      </c>
      <c r="JF25" s="20">
        <v>2.15</v>
      </c>
      <c r="JG25" s="20">
        <v>2.11</v>
      </c>
      <c r="JH25" s="20">
        <v>2.2400000000000002</v>
      </c>
      <c r="JI25" s="20">
        <v>2.0699999999999998</v>
      </c>
      <c r="JJ25" s="20">
        <v>2.0699999999999998</v>
      </c>
      <c r="JK25" s="20">
        <v>2.2599999999999998</v>
      </c>
      <c r="JL25" s="20">
        <v>2.13</v>
      </c>
      <c r="JM25" s="20">
        <v>2.0699999999999998</v>
      </c>
      <c r="JN25" s="20">
        <v>2.13</v>
      </c>
      <c r="JO25" s="20">
        <v>2.14</v>
      </c>
      <c r="JP25" s="20">
        <v>2.17</v>
      </c>
      <c r="JQ25" s="20">
        <v>2.1800000000000002</v>
      </c>
      <c r="JR25" s="20">
        <v>2.37</v>
      </c>
      <c r="JS25" s="20">
        <v>2.42</v>
      </c>
      <c r="JT25" s="20">
        <v>2.48</v>
      </c>
      <c r="JU25" s="20">
        <v>2.31</v>
      </c>
      <c r="JV25" s="20">
        <v>2.64</v>
      </c>
      <c r="JW25" s="55">
        <v>3.06</v>
      </c>
      <c r="JX25" s="62">
        <v>3.03</v>
      </c>
      <c r="JY25" s="62">
        <v>3.02</v>
      </c>
      <c r="JZ25" s="62">
        <v>3.03</v>
      </c>
      <c r="KA25" s="62">
        <v>3.05</v>
      </c>
      <c r="KB25" s="62">
        <v>3.12</v>
      </c>
      <c r="KC25" s="62">
        <v>2.75</v>
      </c>
      <c r="KD25" s="62">
        <v>2.95</v>
      </c>
      <c r="KE25" s="62">
        <v>2.94</v>
      </c>
      <c r="KF25" s="62">
        <v>2.98</v>
      </c>
      <c r="KG25" s="62">
        <v>2.71</v>
      </c>
      <c r="KH25" s="62">
        <v>2.58</v>
      </c>
      <c r="KI25" s="62">
        <v>2.58</v>
      </c>
      <c r="KJ25" s="62">
        <v>2.89</v>
      </c>
      <c r="KK25" s="62">
        <v>2.89</v>
      </c>
      <c r="KL25" s="89">
        <v>2.94</v>
      </c>
      <c r="KM25" s="98">
        <v>2.9</v>
      </c>
      <c r="KN25" s="98">
        <v>3.08</v>
      </c>
      <c r="KO25" s="98">
        <v>3.19</v>
      </c>
      <c r="KP25" s="98">
        <v>3.07</v>
      </c>
      <c r="KQ25" s="98">
        <v>2.97</v>
      </c>
      <c r="KR25" s="98">
        <v>2.91</v>
      </c>
      <c r="KS25" s="98">
        <v>2.96</v>
      </c>
      <c r="KT25" s="98">
        <v>3.01</v>
      </c>
      <c r="KU25" s="98">
        <v>3.12</v>
      </c>
      <c r="KV25" s="98">
        <v>3.34</v>
      </c>
      <c r="KW25" s="98">
        <v>3.22</v>
      </c>
      <c r="KX25" s="98">
        <v>3.34</v>
      </c>
      <c r="KY25" s="98">
        <v>3.29</v>
      </c>
      <c r="KZ25" s="98">
        <v>3.22</v>
      </c>
      <c r="LA25" s="108">
        <v>3.09</v>
      </c>
      <c r="LB25" s="98">
        <v>3.33</v>
      </c>
      <c r="LC25" s="98">
        <v>3.42</v>
      </c>
      <c r="LD25" s="98">
        <v>3.56</v>
      </c>
      <c r="LE25" s="98">
        <v>3.61</v>
      </c>
      <c r="LF25" s="98">
        <v>3.73</v>
      </c>
      <c r="LG25" s="98">
        <v>3.73</v>
      </c>
      <c r="LH25" s="98">
        <v>3.36</v>
      </c>
      <c r="LI25" s="98">
        <v>3.41</v>
      </c>
      <c r="LJ25" s="98">
        <v>3.37</v>
      </c>
      <c r="LK25" s="98">
        <v>3.25</v>
      </c>
      <c r="LL25" s="98">
        <v>3.13</v>
      </c>
      <c r="LM25" s="98">
        <v>3.17</v>
      </c>
      <c r="LN25" s="98">
        <v>3.13</v>
      </c>
      <c r="LO25" s="98">
        <v>3.32</v>
      </c>
      <c r="LP25" s="98">
        <v>4.05</v>
      </c>
      <c r="LQ25" s="218"/>
      <c r="LR25" s="98">
        <v>3.81</v>
      </c>
      <c r="LS25" s="98">
        <v>3.58</v>
      </c>
      <c r="LT25" s="113">
        <v>3.57</v>
      </c>
      <c r="LU25" s="50">
        <v>3.12</v>
      </c>
      <c r="LV25" s="124">
        <v>2.94</v>
      </c>
      <c r="LW25" s="98">
        <v>3.06</v>
      </c>
      <c r="LX25" s="98">
        <v>2.8</v>
      </c>
      <c r="LY25" s="98">
        <v>2.66</v>
      </c>
      <c r="LZ25" s="132">
        <v>2.08</v>
      </c>
      <c r="MA25" s="98">
        <v>2.42</v>
      </c>
      <c r="MB25" s="98">
        <v>2.31</v>
      </c>
      <c r="MC25" s="98">
        <v>2.48</v>
      </c>
      <c r="MD25" s="98">
        <v>2.48</v>
      </c>
      <c r="ME25" s="98">
        <v>2.6</v>
      </c>
      <c r="MF25" s="98">
        <v>2.72</v>
      </c>
      <c r="MG25" s="98">
        <v>2.92</v>
      </c>
      <c r="MH25" s="98">
        <v>2.82</v>
      </c>
      <c r="MI25" s="98">
        <v>2.63</v>
      </c>
      <c r="MJ25" s="98">
        <v>2.33</v>
      </c>
      <c r="MK25" s="98">
        <v>2.17</v>
      </c>
      <c r="ML25" s="50">
        <v>2.0499999999999998</v>
      </c>
      <c r="MM25" s="98">
        <v>2.37</v>
      </c>
      <c r="MN25" s="142">
        <v>3.25</v>
      </c>
      <c r="MO25" s="98">
        <v>3.96</v>
      </c>
      <c r="MP25" s="98">
        <v>3.8</v>
      </c>
      <c r="MQ25" s="98">
        <v>4.5599999999999996</v>
      </c>
      <c r="MR25" s="157">
        <v>4.32</v>
      </c>
      <c r="MS25" s="158">
        <v>4.03</v>
      </c>
      <c r="MT25" s="158">
        <v>3.61</v>
      </c>
      <c r="MU25" s="158">
        <v>4.1399999999999997</v>
      </c>
      <c r="MV25" s="158">
        <v>4.03</v>
      </c>
      <c r="MW25" s="159">
        <v>4.0999999999999996</v>
      </c>
      <c r="MX25" s="98">
        <v>4.0599999999999996</v>
      </c>
      <c r="MY25" s="98">
        <v>4.04</v>
      </c>
      <c r="MZ25" s="98">
        <v>4.04</v>
      </c>
      <c r="NA25" s="98">
        <v>4.13</v>
      </c>
      <c r="NB25" s="98">
        <v>4.38</v>
      </c>
      <c r="NC25" s="108">
        <v>4.04</v>
      </c>
      <c r="ND25" s="98">
        <v>3.48</v>
      </c>
      <c r="NE25" s="98">
        <v>4.2300000000000004</v>
      </c>
      <c r="NF25" s="98">
        <v>4.12</v>
      </c>
      <c r="NG25" s="50">
        <v>3.02</v>
      </c>
      <c r="NH25" s="180">
        <v>3.3</v>
      </c>
      <c r="NI25" s="50">
        <v>0.3</v>
      </c>
      <c r="NJ25" s="98">
        <v>3.3</v>
      </c>
      <c r="NK25" s="98">
        <v>3.54</v>
      </c>
      <c r="NL25" s="98">
        <v>3.49</v>
      </c>
      <c r="NM25" s="157">
        <v>3.23</v>
      </c>
      <c r="NN25" s="158">
        <v>3.78</v>
      </c>
      <c r="NO25" s="188">
        <v>3.93</v>
      </c>
      <c r="NP25" s="158">
        <v>4.1500000000000004</v>
      </c>
      <c r="NQ25" s="158">
        <v>4.42</v>
      </c>
      <c r="NR25" s="188">
        <v>4.54</v>
      </c>
      <c r="NS25" s="158">
        <v>4.25</v>
      </c>
      <c r="NT25" s="158">
        <v>4.28</v>
      </c>
      <c r="NU25" s="159">
        <v>3.57</v>
      </c>
      <c r="NV25" s="50">
        <v>3.33</v>
      </c>
      <c r="NW25" s="50">
        <v>3.35</v>
      </c>
      <c r="NX25" s="50">
        <v>3.47</v>
      </c>
      <c r="NY25" s="50">
        <v>3.43</v>
      </c>
      <c r="NZ25" s="50">
        <v>3.2</v>
      </c>
      <c r="OA25" s="50">
        <v>2.7</v>
      </c>
      <c r="OB25" s="50">
        <v>2.52</v>
      </c>
      <c r="OC25" s="50">
        <v>2.2999999999999998</v>
      </c>
      <c r="OD25" s="50">
        <v>2.4700000000000002</v>
      </c>
      <c r="OE25" s="50">
        <v>2.36</v>
      </c>
      <c r="OF25" s="50">
        <v>2.37</v>
      </c>
      <c r="OG25" s="142">
        <v>2.62</v>
      </c>
    </row>
    <row r="26" spans="1:397" s="50" customFormat="1" ht="15" customHeight="1" x14ac:dyDescent="0.25">
      <c r="A26" s="48" t="s">
        <v>20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>
        <v>1.4</v>
      </c>
      <c r="AM26" s="20">
        <v>1.4</v>
      </c>
      <c r="AN26" s="20">
        <v>1.4</v>
      </c>
      <c r="AO26" s="20">
        <v>1.3</v>
      </c>
      <c r="AP26" s="20">
        <v>1.3</v>
      </c>
      <c r="AQ26" s="20">
        <v>1.1000000000000001</v>
      </c>
      <c r="AR26" s="20">
        <v>1.1000000000000001</v>
      </c>
      <c r="AS26" s="20">
        <v>1.1000000000000001</v>
      </c>
      <c r="AT26" s="20">
        <v>1.1000000000000001</v>
      </c>
      <c r="AU26" s="20">
        <v>1.1000000000000001</v>
      </c>
      <c r="AV26" s="20">
        <v>1.1000000000000001</v>
      </c>
      <c r="AW26" s="20">
        <v>1.1000000000000001</v>
      </c>
      <c r="AX26" s="20">
        <v>1.2</v>
      </c>
      <c r="AY26" s="20">
        <v>1.2</v>
      </c>
      <c r="AZ26" s="20">
        <v>1.2</v>
      </c>
      <c r="BA26" s="20">
        <v>1.4</v>
      </c>
      <c r="BB26" s="20">
        <v>1.3</v>
      </c>
      <c r="BC26" s="20">
        <v>1.4</v>
      </c>
      <c r="BD26" s="20">
        <v>1.6</v>
      </c>
      <c r="BE26" s="20">
        <v>1.5</v>
      </c>
      <c r="BF26" s="20">
        <v>1.5</v>
      </c>
      <c r="BG26" s="20">
        <v>1.4</v>
      </c>
      <c r="BH26" s="20">
        <v>1.3</v>
      </c>
      <c r="BI26" s="20">
        <v>1.3</v>
      </c>
      <c r="BJ26" s="20">
        <v>1.3</v>
      </c>
      <c r="BK26" s="20">
        <v>1.3</v>
      </c>
      <c r="BL26" s="20">
        <v>1.4</v>
      </c>
      <c r="BM26" s="20">
        <v>1.5</v>
      </c>
      <c r="BN26" s="20">
        <v>1.3</v>
      </c>
      <c r="BO26" s="20">
        <v>1.2</v>
      </c>
      <c r="BP26" s="20">
        <v>1.1000000000000001</v>
      </c>
      <c r="BQ26" s="20">
        <v>0.9</v>
      </c>
      <c r="BR26" s="20">
        <v>1</v>
      </c>
      <c r="BS26" s="20">
        <v>1</v>
      </c>
      <c r="BT26" s="20">
        <v>1.1000000000000001</v>
      </c>
      <c r="BU26" s="20">
        <v>1.1000000000000001</v>
      </c>
      <c r="BV26" s="20">
        <v>1.1000000000000001</v>
      </c>
      <c r="BW26" s="20">
        <v>1.1000000000000001</v>
      </c>
      <c r="BX26" s="20">
        <v>1</v>
      </c>
      <c r="BY26" s="20">
        <v>1</v>
      </c>
      <c r="BZ26" s="20">
        <v>1</v>
      </c>
      <c r="CA26" s="20">
        <v>0.9</v>
      </c>
      <c r="CB26" s="20">
        <v>1</v>
      </c>
      <c r="CC26" s="20">
        <v>0.9</v>
      </c>
      <c r="CD26" s="20">
        <v>1</v>
      </c>
      <c r="CE26" s="20">
        <v>0.9</v>
      </c>
      <c r="CF26" s="20">
        <v>0.9</v>
      </c>
      <c r="CG26" s="20">
        <v>1</v>
      </c>
      <c r="CH26" s="20">
        <v>1</v>
      </c>
      <c r="CI26" s="20">
        <v>0.9</v>
      </c>
      <c r="CJ26" s="20">
        <v>0.9</v>
      </c>
      <c r="CK26" s="20">
        <v>0.8</v>
      </c>
      <c r="CL26" s="20">
        <v>0.8</v>
      </c>
      <c r="CM26" s="20">
        <v>0.9</v>
      </c>
      <c r="CN26" s="20">
        <v>0.9</v>
      </c>
      <c r="CO26" s="20">
        <v>0.9</v>
      </c>
      <c r="CP26" s="20">
        <v>0.9</v>
      </c>
      <c r="CQ26" s="20">
        <v>0.9</v>
      </c>
      <c r="CR26" s="20">
        <v>0.9</v>
      </c>
      <c r="CS26" s="20">
        <v>0.8</v>
      </c>
      <c r="CT26" s="20">
        <v>0.8</v>
      </c>
      <c r="CU26" s="20">
        <v>0.6</v>
      </c>
      <c r="CV26" s="20">
        <v>0.6</v>
      </c>
      <c r="CW26" s="20">
        <v>0.6</v>
      </c>
      <c r="CX26" s="20">
        <v>0.6</v>
      </c>
      <c r="CY26" s="20">
        <v>0.6</v>
      </c>
      <c r="CZ26" s="20">
        <v>0.6</v>
      </c>
      <c r="DA26" s="20">
        <v>0.5</v>
      </c>
      <c r="DB26" s="20">
        <v>0.5</v>
      </c>
      <c r="DC26" s="20">
        <v>0.7</v>
      </c>
      <c r="DD26" s="20">
        <v>0.7</v>
      </c>
      <c r="DE26" s="20">
        <v>0.8</v>
      </c>
      <c r="DF26" s="20">
        <v>0.7</v>
      </c>
      <c r="DG26" s="20">
        <v>0.8</v>
      </c>
      <c r="DH26" s="20">
        <v>0.8</v>
      </c>
      <c r="DI26" s="20">
        <v>0.8</v>
      </c>
      <c r="DJ26" s="20">
        <v>0.9</v>
      </c>
      <c r="DK26" s="20">
        <v>0.9</v>
      </c>
      <c r="DL26" s="20">
        <v>0.9</v>
      </c>
      <c r="DM26" s="20">
        <v>0.9</v>
      </c>
      <c r="DN26" s="20">
        <v>1</v>
      </c>
      <c r="DO26" s="20">
        <v>0.9</v>
      </c>
      <c r="DP26" s="20">
        <v>0.9</v>
      </c>
      <c r="DQ26" s="20">
        <v>0.9</v>
      </c>
      <c r="DR26" s="20">
        <v>0.9</v>
      </c>
      <c r="DS26" s="20">
        <v>0.8</v>
      </c>
      <c r="DT26" s="20">
        <v>0.7</v>
      </c>
      <c r="DU26" s="20">
        <v>0.7</v>
      </c>
      <c r="DV26" s="20">
        <v>0.9</v>
      </c>
      <c r="DW26" s="20">
        <v>1.1000000000000001</v>
      </c>
      <c r="DX26" s="20">
        <v>1</v>
      </c>
      <c r="DY26" s="20">
        <v>1.1000000000000001</v>
      </c>
      <c r="DZ26" s="20">
        <v>1.3</v>
      </c>
      <c r="EA26" s="20">
        <v>1.4</v>
      </c>
      <c r="EB26" s="20">
        <v>1.2</v>
      </c>
      <c r="EC26" s="20">
        <v>1.1000000000000001</v>
      </c>
      <c r="ED26" s="20">
        <v>1.2</v>
      </c>
      <c r="EE26" s="20">
        <v>1.2</v>
      </c>
      <c r="EF26" s="20">
        <v>1.2</v>
      </c>
      <c r="EG26" s="20">
        <v>1.2</v>
      </c>
      <c r="EH26" s="20">
        <v>1.3</v>
      </c>
      <c r="EI26" s="20">
        <v>1.2</v>
      </c>
      <c r="EJ26" s="20">
        <v>1.3</v>
      </c>
      <c r="EK26" s="20">
        <v>1.2</v>
      </c>
      <c r="EL26" s="20">
        <v>1.3</v>
      </c>
      <c r="EM26" s="20">
        <v>1.3</v>
      </c>
      <c r="EN26" s="20">
        <v>1.3</v>
      </c>
      <c r="EO26" s="20">
        <v>1.3</v>
      </c>
      <c r="EP26" s="20">
        <v>1.5</v>
      </c>
      <c r="EQ26" s="20">
        <v>1.5</v>
      </c>
      <c r="ER26" s="20">
        <v>1.6</v>
      </c>
      <c r="ES26" s="20">
        <v>1.6</v>
      </c>
      <c r="ET26" s="20">
        <v>1.6</v>
      </c>
      <c r="EU26" s="20">
        <v>1.7</v>
      </c>
      <c r="EV26" s="20">
        <v>1.95</v>
      </c>
      <c r="EW26" s="20">
        <v>1.98</v>
      </c>
      <c r="EX26" s="20">
        <v>2.2000000000000002</v>
      </c>
      <c r="EY26" s="20">
        <v>2.2999999999999998</v>
      </c>
      <c r="EZ26" s="20">
        <v>2</v>
      </c>
      <c r="FA26" s="20">
        <v>1.65</v>
      </c>
      <c r="FB26" s="20">
        <v>12.1</v>
      </c>
      <c r="FC26" s="20">
        <v>1.91</v>
      </c>
      <c r="FD26" s="20">
        <v>2</v>
      </c>
      <c r="FE26" s="20">
        <v>1.57</v>
      </c>
      <c r="FF26" s="20">
        <v>1.52</v>
      </c>
      <c r="FG26" s="20">
        <v>1.36</v>
      </c>
      <c r="FH26" s="21">
        <v>1.4</v>
      </c>
      <c r="FI26" s="21">
        <v>1.42</v>
      </c>
      <c r="FJ26" s="21">
        <v>1.53</v>
      </c>
      <c r="FK26" s="20">
        <v>1.58</v>
      </c>
      <c r="FL26" s="21">
        <v>1.75</v>
      </c>
      <c r="FM26" s="21">
        <v>2</v>
      </c>
      <c r="FN26" s="20">
        <v>2.2000000000000002</v>
      </c>
      <c r="FO26" s="20">
        <v>2.2000000000000002</v>
      </c>
      <c r="FP26" s="23">
        <v>2.2000000000000002</v>
      </c>
      <c r="FQ26" s="20">
        <v>2.1</v>
      </c>
      <c r="FR26" s="20">
        <v>1.8</v>
      </c>
      <c r="FS26" s="20">
        <v>1.9</v>
      </c>
      <c r="FT26" s="20">
        <v>1.8</v>
      </c>
      <c r="FU26" s="20">
        <v>1.87</v>
      </c>
      <c r="FV26" s="20">
        <v>1.89</v>
      </c>
      <c r="FW26" s="20">
        <v>1.87</v>
      </c>
      <c r="FX26" s="20">
        <v>1.83</v>
      </c>
      <c r="FY26" s="20">
        <v>1.79</v>
      </c>
      <c r="FZ26" s="20">
        <v>1.66</v>
      </c>
      <c r="GA26" s="20">
        <v>1.72</v>
      </c>
      <c r="GB26" s="20">
        <v>1.65</v>
      </c>
      <c r="GC26" s="20">
        <v>1.41</v>
      </c>
      <c r="GD26" s="20">
        <v>1.39</v>
      </c>
      <c r="GE26" s="20">
        <v>1.28</v>
      </c>
      <c r="GF26" s="20">
        <v>1.28</v>
      </c>
      <c r="GG26" s="20">
        <v>1.25</v>
      </c>
      <c r="GH26" s="20">
        <v>1.1100000000000001</v>
      </c>
      <c r="GI26" s="20">
        <v>0.93</v>
      </c>
      <c r="GJ26" s="20">
        <v>0.84</v>
      </c>
      <c r="GK26" s="20">
        <v>0.76</v>
      </c>
      <c r="GL26" s="20">
        <v>0.93</v>
      </c>
      <c r="GM26" s="20">
        <v>0.86</v>
      </c>
      <c r="GN26" s="20">
        <v>0.8</v>
      </c>
      <c r="GO26" s="20">
        <v>0.91</v>
      </c>
      <c r="GP26" s="20">
        <v>1.1100000000000001</v>
      </c>
      <c r="GQ26" s="20">
        <v>1.17</v>
      </c>
      <c r="GR26" s="20">
        <v>1.22</v>
      </c>
      <c r="GS26" s="20">
        <v>1.26</v>
      </c>
      <c r="GT26" s="20">
        <v>1.43</v>
      </c>
      <c r="GU26" s="20">
        <v>1.46</v>
      </c>
      <c r="GV26" s="20">
        <v>1.43</v>
      </c>
      <c r="GW26" s="20">
        <v>1.67</v>
      </c>
      <c r="GX26" s="20">
        <v>1.8</v>
      </c>
      <c r="GY26" s="20">
        <v>1.9</v>
      </c>
      <c r="GZ26" s="20">
        <v>1.9</v>
      </c>
      <c r="HA26" s="20">
        <v>2.08</v>
      </c>
      <c r="HB26" s="20">
        <v>2.11</v>
      </c>
      <c r="HC26" s="20">
        <v>2.27</v>
      </c>
      <c r="HD26" s="20">
        <v>2.41</v>
      </c>
      <c r="HE26" s="20">
        <v>2.65</v>
      </c>
      <c r="HF26" s="20">
        <v>3.14</v>
      </c>
      <c r="HG26" s="20">
        <v>2.98</v>
      </c>
      <c r="HH26" s="20">
        <v>2.88</v>
      </c>
      <c r="HI26" s="20">
        <v>3</v>
      </c>
      <c r="HJ26" s="20">
        <v>3.22</v>
      </c>
      <c r="HK26" s="20">
        <v>3.51</v>
      </c>
      <c r="HL26" s="20">
        <v>3.15</v>
      </c>
      <c r="HM26" s="20">
        <v>3.23</v>
      </c>
      <c r="HN26" s="20">
        <v>3.25</v>
      </c>
      <c r="HO26" s="20">
        <v>2.86</v>
      </c>
      <c r="HP26" s="20">
        <v>2.76</v>
      </c>
      <c r="HQ26" s="20">
        <v>2.52</v>
      </c>
      <c r="HR26" s="20">
        <v>2.23</v>
      </c>
      <c r="HS26" s="20">
        <v>2.0499999999999998</v>
      </c>
      <c r="HT26" s="20">
        <v>2.0099999999999998</v>
      </c>
      <c r="HU26" s="20">
        <v>2</v>
      </c>
      <c r="HV26" s="20">
        <v>1.88</v>
      </c>
      <c r="HW26" s="20">
        <v>1.81</v>
      </c>
      <c r="HX26" s="20">
        <v>1.82</v>
      </c>
      <c r="HY26" s="20">
        <v>1.79</v>
      </c>
      <c r="HZ26" s="20">
        <v>1.58</v>
      </c>
      <c r="IA26" s="20">
        <v>1.77</v>
      </c>
      <c r="IB26" s="20">
        <v>1.76</v>
      </c>
      <c r="IC26" s="20">
        <v>1.84</v>
      </c>
      <c r="ID26" s="20">
        <v>2.12</v>
      </c>
      <c r="IE26" s="20">
        <v>1.97</v>
      </c>
      <c r="IF26" s="20">
        <v>1.92</v>
      </c>
      <c r="IG26" s="20">
        <v>2.08</v>
      </c>
      <c r="IH26" s="49">
        <v>2.14</v>
      </c>
      <c r="II26" s="49">
        <v>2.08</v>
      </c>
      <c r="IJ26" s="49">
        <v>2.12</v>
      </c>
      <c r="IK26" s="20">
        <v>2.19</v>
      </c>
      <c r="IL26" s="20">
        <v>2.39</v>
      </c>
      <c r="IM26" s="20">
        <v>2.27</v>
      </c>
      <c r="IN26" s="20">
        <v>2.15</v>
      </c>
      <c r="IO26" s="20">
        <v>2.2200000000000002</v>
      </c>
      <c r="IP26" s="20">
        <v>2.2000000000000002</v>
      </c>
      <c r="IQ26" s="20">
        <v>2.08</v>
      </c>
      <c r="IR26" s="20">
        <v>1.96</v>
      </c>
      <c r="IS26" s="20">
        <v>1.96</v>
      </c>
      <c r="IT26" s="20">
        <v>2.0699999999999998</v>
      </c>
      <c r="IU26" s="20">
        <v>1.96</v>
      </c>
      <c r="IV26" s="20">
        <v>1.96</v>
      </c>
      <c r="IW26" s="20">
        <v>2.04</v>
      </c>
      <c r="IX26" s="20">
        <v>2.0499999999999998</v>
      </c>
      <c r="IY26" s="20">
        <v>2.04</v>
      </c>
      <c r="IZ26" s="20">
        <v>2.14</v>
      </c>
      <c r="JA26" s="21">
        <v>2.21</v>
      </c>
      <c r="JB26" s="20">
        <v>2.2999999999999998</v>
      </c>
      <c r="JC26" s="20">
        <v>2.2000000000000002</v>
      </c>
      <c r="JD26" s="20">
        <v>2.16</v>
      </c>
      <c r="JE26" s="20">
        <v>2.2000000000000002</v>
      </c>
      <c r="JF26" s="20">
        <v>2.17</v>
      </c>
      <c r="JG26" s="20">
        <v>2.2000000000000002</v>
      </c>
      <c r="JH26" s="20">
        <v>2.02</v>
      </c>
      <c r="JI26" s="20">
        <v>2.08</v>
      </c>
      <c r="JJ26" s="20">
        <v>2.09</v>
      </c>
      <c r="JK26" s="20">
        <v>1.98</v>
      </c>
      <c r="JL26" s="20">
        <v>2.1</v>
      </c>
      <c r="JM26" s="20">
        <v>2.11</v>
      </c>
      <c r="JN26" s="20">
        <v>2.02</v>
      </c>
      <c r="JO26" s="20">
        <v>2.0099999999999998</v>
      </c>
      <c r="JP26" s="20">
        <v>1.98</v>
      </c>
      <c r="JQ26" s="20">
        <v>1.99</v>
      </c>
      <c r="JR26" s="20">
        <v>1.83</v>
      </c>
      <c r="JS26" s="20">
        <v>1.79</v>
      </c>
      <c r="JT26" s="20">
        <v>1.74</v>
      </c>
      <c r="JU26" s="20">
        <v>1.87</v>
      </c>
      <c r="JV26" s="20">
        <v>1.52</v>
      </c>
      <c r="JW26" s="55">
        <v>1.45</v>
      </c>
      <c r="JX26" s="62">
        <v>1.48</v>
      </c>
      <c r="JY26" s="62">
        <v>1.5</v>
      </c>
      <c r="JZ26" s="62">
        <v>1.5</v>
      </c>
      <c r="KA26" s="62">
        <v>1.47</v>
      </c>
      <c r="KB26" s="62">
        <v>1.43</v>
      </c>
      <c r="KC26" s="62">
        <v>1.42</v>
      </c>
      <c r="KD26" s="62">
        <v>1.39</v>
      </c>
      <c r="KE26" s="62">
        <v>1.37</v>
      </c>
      <c r="KF26" s="62">
        <v>1.35</v>
      </c>
      <c r="KG26" s="62">
        <v>1.47</v>
      </c>
      <c r="KH26" s="62">
        <v>1.49</v>
      </c>
      <c r="KI26" s="62">
        <v>1.51</v>
      </c>
      <c r="KJ26" s="62">
        <v>1.42</v>
      </c>
      <c r="KK26" s="62">
        <v>1.42</v>
      </c>
      <c r="KL26" s="89">
        <v>1.38</v>
      </c>
      <c r="KM26" s="98">
        <v>1.4</v>
      </c>
      <c r="KN26" s="98">
        <v>1.33</v>
      </c>
      <c r="KO26" s="98">
        <v>1.31</v>
      </c>
      <c r="KP26" s="98">
        <v>1.32</v>
      </c>
      <c r="KQ26" s="98">
        <v>1.35</v>
      </c>
      <c r="KR26" s="98">
        <v>1.35</v>
      </c>
      <c r="KS26" s="98">
        <v>1.32</v>
      </c>
      <c r="KT26" s="98">
        <v>1.29</v>
      </c>
      <c r="KU26" s="98">
        <v>1.25</v>
      </c>
      <c r="KV26" s="98">
        <v>1.21</v>
      </c>
      <c r="KW26" s="98">
        <v>1.19</v>
      </c>
      <c r="KX26" s="98">
        <v>1.1499999999999999</v>
      </c>
      <c r="KY26" s="98">
        <v>1.17</v>
      </c>
      <c r="KZ26" s="98">
        <v>1.18</v>
      </c>
      <c r="LA26" s="108">
        <v>1.18</v>
      </c>
      <c r="LB26" s="98">
        <v>1.18</v>
      </c>
      <c r="LC26" s="98">
        <v>1.1399999999999999</v>
      </c>
      <c r="LD26" s="98">
        <v>1.1000000000000001</v>
      </c>
      <c r="LE26" s="98">
        <v>1.08</v>
      </c>
      <c r="LF26" s="98">
        <v>1.03</v>
      </c>
      <c r="LG26" s="98">
        <v>1.01</v>
      </c>
      <c r="LH26" s="98">
        <v>1.1200000000000001</v>
      </c>
      <c r="LI26" s="98">
        <v>1.1100000000000001</v>
      </c>
      <c r="LJ26" s="98">
        <v>1.07</v>
      </c>
      <c r="LK26" s="98">
        <v>1.1100000000000001</v>
      </c>
      <c r="LL26" s="98">
        <v>1.1499999999999999</v>
      </c>
      <c r="LM26" s="98">
        <v>1.1399999999999999</v>
      </c>
      <c r="LN26" s="98">
        <v>1.1000000000000001</v>
      </c>
      <c r="LO26" s="98">
        <v>1.03</v>
      </c>
      <c r="LP26" s="98">
        <v>0.85</v>
      </c>
      <c r="LQ26" s="218"/>
      <c r="LR26" s="98">
        <v>0.9</v>
      </c>
      <c r="LS26" s="98">
        <v>0.96</v>
      </c>
      <c r="LT26" s="113">
        <v>0.95</v>
      </c>
      <c r="LU26" s="50">
        <v>0.9</v>
      </c>
      <c r="LV26" s="124">
        <v>1</v>
      </c>
      <c r="LW26" s="98">
        <v>0.96</v>
      </c>
      <c r="LX26" s="98">
        <v>1.05</v>
      </c>
      <c r="LY26" s="98">
        <v>1.1299999999999999</v>
      </c>
      <c r="LZ26" s="132">
        <v>1.44</v>
      </c>
      <c r="MA26" s="98">
        <v>1.22</v>
      </c>
      <c r="MB26" s="98">
        <v>1.1200000000000001</v>
      </c>
      <c r="MC26" s="98">
        <v>1.1200000000000001</v>
      </c>
      <c r="MD26" s="98">
        <v>1.1399999999999999</v>
      </c>
      <c r="ME26" s="98">
        <v>1.1200000000000001</v>
      </c>
      <c r="MF26" s="98">
        <v>1.1499999999999999</v>
      </c>
      <c r="MG26" s="98">
        <v>1.26</v>
      </c>
      <c r="MH26" s="98">
        <v>1.32</v>
      </c>
      <c r="MI26" s="98">
        <v>1.42</v>
      </c>
      <c r="MJ26" s="98">
        <v>1.6</v>
      </c>
      <c r="MK26" s="98">
        <v>1.67</v>
      </c>
      <c r="ML26" s="50">
        <v>1.77</v>
      </c>
      <c r="MM26" s="98">
        <v>1.57</v>
      </c>
      <c r="MN26" s="142">
        <v>1.1399999999999999</v>
      </c>
      <c r="MO26" s="98">
        <v>0.92</v>
      </c>
      <c r="MP26" s="98">
        <v>0.98</v>
      </c>
      <c r="MQ26" s="98">
        <v>0.8</v>
      </c>
      <c r="MR26" s="157">
        <v>0.83</v>
      </c>
      <c r="MS26" s="158">
        <v>0.96</v>
      </c>
      <c r="MT26" s="158">
        <v>1.03</v>
      </c>
      <c r="MU26" s="158">
        <v>0.9</v>
      </c>
      <c r="MV26" s="158">
        <v>0.93</v>
      </c>
      <c r="MW26" s="159">
        <v>0.91</v>
      </c>
      <c r="MX26" s="98">
        <v>0.92</v>
      </c>
      <c r="MY26" s="98">
        <v>0.93</v>
      </c>
      <c r="MZ26" s="98">
        <v>0.92</v>
      </c>
      <c r="NA26" s="98">
        <v>0.91</v>
      </c>
      <c r="NB26" s="98">
        <v>0.85</v>
      </c>
      <c r="NC26" s="108">
        <v>0.92</v>
      </c>
      <c r="ND26" s="98">
        <v>1.07</v>
      </c>
      <c r="NE26" s="98">
        <v>1.02</v>
      </c>
      <c r="NF26" s="98">
        <v>1.04</v>
      </c>
      <c r="NG26" s="50">
        <v>0.99</v>
      </c>
      <c r="NH26" s="180">
        <v>0.94</v>
      </c>
      <c r="NI26" s="50">
        <v>0.93</v>
      </c>
      <c r="NJ26" s="98">
        <v>0.9</v>
      </c>
      <c r="NK26" s="98">
        <v>0.9</v>
      </c>
      <c r="NL26" s="98">
        <v>0.98</v>
      </c>
      <c r="NM26" s="157">
        <v>1.06</v>
      </c>
      <c r="NN26" s="158">
        <v>1.02</v>
      </c>
      <c r="NO26" s="188">
        <v>1.01</v>
      </c>
      <c r="NP26" s="158">
        <v>0.96</v>
      </c>
      <c r="NQ26" s="158">
        <v>0.92</v>
      </c>
      <c r="NR26" s="188">
        <v>0.95</v>
      </c>
      <c r="NS26" s="158">
        <v>1.01</v>
      </c>
      <c r="NT26" s="158">
        <v>1.02</v>
      </c>
      <c r="NU26" s="159">
        <v>1.17</v>
      </c>
      <c r="NV26" s="50">
        <v>1.26</v>
      </c>
      <c r="NW26" s="50">
        <v>1.18</v>
      </c>
      <c r="NX26" s="50">
        <v>1.1000000000000001</v>
      </c>
      <c r="NY26" s="50">
        <v>1.1100000000000001</v>
      </c>
      <c r="NZ26" s="50">
        <v>1.19</v>
      </c>
      <c r="OA26" s="50">
        <v>1.22</v>
      </c>
      <c r="OB26" s="50">
        <v>1.31</v>
      </c>
      <c r="OC26" s="50">
        <v>1.41</v>
      </c>
      <c r="OD26" s="50">
        <v>1.43</v>
      </c>
      <c r="OE26" s="50">
        <v>1.5</v>
      </c>
      <c r="OF26" s="50">
        <v>1.5</v>
      </c>
      <c r="OG26" s="142">
        <v>1.45</v>
      </c>
    </row>
    <row r="27" spans="1:397" s="5" customFormat="1" ht="13.5" customHeight="1" x14ac:dyDescent="0.25">
      <c r="A27" s="27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20"/>
      <c r="FH27" s="14"/>
      <c r="FI27" s="14"/>
      <c r="FJ27" s="14"/>
      <c r="FK27" s="11"/>
      <c r="FL27" s="11"/>
      <c r="FM27" s="12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 t="s">
        <v>21</v>
      </c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0"/>
      <c r="JA27" s="19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54"/>
      <c r="JX27" s="61"/>
      <c r="JY27" s="61"/>
      <c r="JZ27" s="61"/>
      <c r="KA27" s="61"/>
      <c r="KB27" s="61"/>
      <c r="KC27" s="61"/>
      <c r="KD27" s="61"/>
      <c r="KE27" s="61"/>
      <c r="KF27" s="61"/>
      <c r="KG27" s="61"/>
      <c r="KH27" s="61"/>
      <c r="KI27" s="61"/>
      <c r="KJ27" s="61"/>
      <c r="KK27" s="61"/>
      <c r="KL27" s="90"/>
      <c r="KM27" s="99"/>
      <c r="KN27" s="99"/>
      <c r="KO27" s="99"/>
      <c r="KP27" s="99"/>
      <c r="KQ27" s="99"/>
      <c r="KR27" s="99"/>
      <c r="KS27" s="99"/>
      <c r="KT27" s="99"/>
      <c r="KU27" s="99"/>
      <c r="KV27" s="99"/>
      <c r="KW27" s="99"/>
      <c r="KX27" s="99"/>
      <c r="KY27" s="101"/>
      <c r="KZ27" s="99"/>
      <c r="LA27" s="101"/>
      <c r="LB27" s="99"/>
      <c r="LC27" s="99"/>
      <c r="LD27" s="99"/>
      <c r="LE27" s="99"/>
      <c r="LF27" s="99"/>
      <c r="LG27" s="99"/>
      <c r="LH27" s="99"/>
      <c r="LI27" s="99"/>
      <c r="LJ27" s="99"/>
      <c r="LK27" s="99"/>
      <c r="LL27" s="99"/>
      <c r="LM27" s="99"/>
      <c r="LN27" s="99"/>
      <c r="LO27" s="99"/>
      <c r="LP27" s="99"/>
      <c r="LQ27" s="218"/>
      <c r="LR27" s="99"/>
      <c r="LS27" s="99"/>
      <c r="LT27" s="114"/>
      <c r="LV27" s="125" t="s">
        <v>21</v>
      </c>
      <c r="LW27" s="99"/>
      <c r="LX27" s="99"/>
      <c r="LY27" s="99"/>
      <c r="LZ27" s="99"/>
      <c r="MA27" s="99"/>
      <c r="MB27" s="99"/>
      <c r="MC27" s="99"/>
      <c r="MD27" s="99"/>
      <c r="ME27" s="99"/>
      <c r="MF27" s="99"/>
      <c r="MG27" s="99"/>
      <c r="MH27" s="99"/>
      <c r="MI27" s="99"/>
      <c r="MJ27" s="99"/>
      <c r="MK27" s="99"/>
      <c r="MM27" s="99"/>
      <c r="MN27" s="143"/>
      <c r="MO27" s="99"/>
      <c r="MP27" s="99"/>
      <c r="MQ27" s="99"/>
      <c r="MR27" s="160"/>
      <c r="MS27" s="161"/>
      <c r="MT27" s="161"/>
      <c r="MU27" s="161"/>
      <c r="MV27" s="161"/>
      <c r="MW27" s="162"/>
      <c r="MX27" s="99"/>
      <c r="MY27" s="99"/>
      <c r="MZ27" s="99"/>
      <c r="NA27" s="99"/>
      <c r="NB27" s="99"/>
      <c r="NC27" s="101"/>
      <c r="ND27" s="99"/>
      <c r="NE27" s="99"/>
      <c r="NF27" s="99"/>
      <c r="NH27" s="181"/>
      <c r="NJ27" s="99"/>
      <c r="NK27" s="99"/>
      <c r="NL27" s="99"/>
      <c r="NM27" s="160"/>
      <c r="NN27" s="161"/>
      <c r="NO27" s="189"/>
      <c r="NP27" s="161"/>
      <c r="NQ27" s="161"/>
      <c r="NR27" s="189"/>
      <c r="NS27" s="161"/>
      <c r="NT27" s="161"/>
      <c r="NU27" s="162"/>
      <c r="OG27" s="143"/>
    </row>
    <row r="28" spans="1:397" s="5" customFormat="1" ht="15.75" customHeight="1" thickBot="1" x14ac:dyDescent="0.3">
      <c r="A28" s="27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4"/>
      <c r="FI28" s="14"/>
      <c r="FJ28" s="14"/>
      <c r="FK28" s="24"/>
      <c r="FL28" s="24"/>
      <c r="FM28" s="12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9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54"/>
      <c r="JX28" s="61"/>
      <c r="JY28" s="61"/>
      <c r="JZ28" s="61"/>
      <c r="KA28" s="61"/>
      <c r="KB28" s="61"/>
      <c r="KC28" s="61"/>
      <c r="KD28" s="61"/>
      <c r="KE28" s="61"/>
      <c r="KF28" s="61"/>
      <c r="KG28" s="61"/>
      <c r="KH28" s="61"/>
      <c r="KI28" s="61"/>
      <c r="KJ28" s="61"/>
      <c r="KK28" s="61"/>
      <c r="KL28" s="90"/>
      <c r="KM28" s="99"/>
      <c r="KN28" s="99"/>
      <c r="KO28" s="99"/>
      <c r="KP28" s="99"/>
      <c r="KQ28" s="99"/>
      <c r="KR28" s="99"/>
      <c r="KS28" s="99"/>
      <c r="KT28" s="99"/>
      <c r="KU28" s="99"/>
      <c r="KV28" s="99"/>
      <c r="KW28" s="99"/>
      <c r="KX28" s="99"/>
      <c r="KZ28" s="102"/>
      <c r="LA28" s="109"/>
      <c r="LB28" s="102"/>
      <c r="LC28" s="102"/>
      <c r="LD28" s="102"/>
      <c r="LE28" s="99"/>
      <c r="LF28" s="99"/>
      <c r="LG28" s="99"/>
      <c r="LH28" s="102"/>
      <c r="LI28" s="102"/>
      <c r="LJ28" s="102"/>
      <c r="LK28" s="99"/>
      <c r="LL28" s="99"/>
      <c r="LM28" s="99"/>
      <c r="LN28" s="99"/>
      <c r="LO28" s="99"/>
      <c r="LP28" s="99"/>
      <c r="LQ28" s="218"/>
      <c r="LR28" s="99"/>
      <c r="LS28" s="99"/>
      <c r="LT28" s="116"/>
      <c r="LU28" s="117"/>
      <c r="LV28" s="126"/>
      <c r="LW28" s="99"/>
      <c r="LX28" s="99"/>
      <c r="LY28" s="99"/>
      <c r="LZ28" s="99"/>
      <c r="MA28" s="99"/>
      <c r="MB28" s="99"/>
      <c r="MC28" s="99"/>
      <c r="MD28" s="99"/>
      <c r="ME28" s="99"/>
      <c r="MF28" s="99"/>
      <c r="MG28" s="99"/>
      <c r="MH28" s="99"/>
      <c r="MI28" s="99"/>
      <c r="MJ28" s="99"/>
      <c r="MK28" s="99"/>
      <c r="MM28" s="99"/>
      <c r="MN28" s="143"/>
      <c r="MO28" s="99"/>
      <c r="MP28" s="99"/>
      <c r="MQ28" s="99"/>
      <c r="MR28" s="160"/>
      <c r="MS28" s="161"/>
      <c r="MT28" s="161"/>
      <c r="MU28" s="161"/>
      <c r="MV28" s="161"/>
      <c r="MW28" s="162"/>
      <c r="MX28" s="99"/>
      <c r="MY28" s="99"/>
      <c r="MZ28" s="99"/>
      <c r="NA28" s="99"/>
      <c r="NB28" s="99"/>
      <c r="NC28" s="101"/>
      <c r="ND28" s="99"/>
      <c r="NE28" s="99"/>
      <c r="NF28" s="99"/>
      <c r="NH28" s="182"/>
      <c r="NI28" s="184"/>
      <c r="NJ28" s="99"/>
      <c r="NK28" s="99"/>
      <c r="NL28" s="99"/>
      <c r="NM28" s="160"/>
      <c r="NN28" s="161"/>
      <c r="NO28" s="189"/>
      <c r="NP28" s="161"/>
      <c r="NQ28" s="161"/>
      <c r="NR28" s="189"/>
      <c r="NS28" s="161"/>
      <c r="NT28" s="161"/>
      <c r="NU28" s="162"/>
      <c r="OG28" s="143"/>
    </row>
    <row r="29" spans="1:397" s="5" customFormat="1" ht="15" customHeight="1" x14ac:dyDescent="0.25">
      <c r="A29" s="71" t="s">
        <v>22</v>
      </c>
      <c r="B29" s="72">
        <f t="shared" ref="B29:BM29" si="2">(B7/1000000000)/B23%</f>
        <v>0.584243925925926</v>
      </c>
      <c r="C29" s="72">
        <f t="shared" si="2"/>
        <v>0.49395722419354837</v>
      </c>
      <c r="D29" s="72">
        <f t="shared" si="2"/>
        <v>0.77739196257273158</v>
      </c>
      <c r="E29" s="72">
        <f t="shared" si="2"/>
        <v>0.56254692968989872</v>
      </c>
      <c r="F29" s="72">
        <f t="shared" si="2"/>
        <v>0.75951598527245945</v>
      </c>
      <c r="G29" s="72">
        <f t="shared" si="2"/>
        <v>1.689433795036029</v>
      </c>
      <c r="H29" s="72">
        <f t="shared" si="2"/>
        <v>2.5189622373034726</v>
      </c>
      <c r="I29" s="72">
        <f t="shared" si="2"/>
        <v>2.2814771540115419</v>
      </c>
      <c r="J29" s="72">
        <f t="shared" si="2"/>
        <v>2.1564453692637273</v>
      </c>
      <c r="K29" s="72">
        <f t="shared" si="2"/>
        <v>1.9853774123573558</v>
      </c>
      <c r="L29" s="72">
        <f t="shared" si="2"/>
        <v>3.4248563021731635</v>
      </c>
      <c r="M29" s="72">
        <f t="shared" si="2"/>
        <v>2.5926012513127068</v>
      </c>
      <c r="N29" s="72">
        <f t="shared" si="2"/>
        <v>3.0887818707486954</v>
      </c>
      <c r="O29" s="72">
        <f t="shared" si="2"/>
        <v>3.1337402229795894</v>
      </c>
      <c r="P29" s="72">
        <f t="shared" si="2"/>
        <v>3.5371562308407838</v>
      </c>
      <c r="Q29" s="72">
        <f t="shared" si="2"/>
        <v>1.5341434159980387</v>
      </c>
      <c r="R29" s="72">
        <f t="shared" si="2"/>
        <v>1.1839823941508398</v>
      </c>
      <c r="S29" s="72">
        <f t="shared" si="2"/>
        <v>1.7535314873300325</v>
      </c>
      <c r="T29" s="72">
        <f t="shared" si="2"/>
        <v>1.5511616046602523</v>
      </c>
      <c r="U29" s="72">
        <f t="shared" si="2"/>
        <v>1.5324007579877155</v>
      </c>
      <c r="V29" s="72">
        <f t="shared" si="2"/>
        <v>2.4148046266104846</v>
      </c>
      <c r="W29" s="72">
        <f t="shared" si="2"/>
        <v>1.0596067255740336</v>
      </c>
      <c r="X29" s="72">
        <f t="shared" si="2"/>
        <v>1.0271480365837202</v>
      </c>
      <c r="Y29" s="72">
        <f t="shared" si="2"/>
        <v>1.0437243278025858</v>
      </c>
      <c r="Z29" s="72">
        <f t="shared" si="2"/>
        <v>0.63570100302579047</v>
      </c>
      <c r="AA29" s="72">
        <f t="shared" si="2"/>
        <v>0.78278023477489755</v>
      </c>
      <c r="AB29" s="72">
        <f t="shared" si="2"/>
        <v>1.2451474297630338</v>
      </c>
      <c r="AC29" s="72">
        <f t="shared" si="2"/>
        <v>0.60421918646710215</v>
      </c>
      <c r="AD29" s="72">
        <f t="shared" si="2"/>
        <v>1.1290711525413559</v>
      </c>
      <c r="AE29" s="72">
        <f t="shared" si="2"/>
        <v>1.0564506969842398</v>
      </c>
      <c r="AF29" s="72">
        <f t="shared" si="2"/>
        <v>0.73720990441857104</v>
      </c>
      <c r="AG29" s="72">
        <f t="shared" si="2"/>
        <v>1.1170223474761827</v>
      </c>
      <c r="AH29" s="72">
        <f t="shared" si="2"/>
        <v>0.53719353137166848</v>
      </c>
      <c r="AI29" s="72">
        <f t="shared" si="2"/>
        <v>0.37174656879437146</v>
      </c>
      <c r="AJ29" s="72">
        <f t="shared" si="2"/>
        <v>0.75849837981523083</v>
      </c>
      <c r="AK29" s="72">
        <f t="shared" si="2"/>
        <v>0.76238038820456799</v>
      </c>
      <c r="AL29" s="72">
        <f t="shared" si="2"/>
        <v>0.86169728049133754</v>
      </c>
      <c r="AM29" s="72">
        <f t="shared" si="2"/>
        <v>0.88516893165234178</v>
      </c>
      <c r="AN29" s="72">
        <f t="shared" si="2"/>
        <v>0.88195856893847435</v>
      </c>
      <c r="AO29" s="72">
        <f t="shared" si="2"/>
        <v>0.44911358228830039</v>
      </c>
      <c r="AP29" s="72">
        <f t="shared" si="2"/>
        <v>0.29008917898779274</v>
      </c>
      <c r="AQ29" s="72">
        <f t="shared" si="2"/>
        <v>0.39092428247435695</v>
      </c>
      <c r="AR29" s="72">
        <f t="shared" si="2"/>
        <v>0.27540870051770555</v>
      </c>
      <c r="AS29" s="72">
        <f t="shared" si="2"/>
        <v>0.33929444194560909</v>
      </c>
      <c r="AT29" s="72">
        <f t="shared" si="2"/>
        <v>0.53282379091290244</v>
      </c>
      <c r="AU29" s="72">
        <f t="shared" si="2"/>
        <v>0.80356252858805888</v>
      </c>
      <c r="AV29" s="72">
        <f t="shared" si="2"/>
        <v>0.86662304536538892</v>
      </c>
      <c r="AW29" s="72">
        <f t="shared" si="2"/>
        <v>0.73776063424099103</v>
      </c>
      <c r="AX29" s="72">
        <f t="shared" si="2"/>
        <v>0.68369478483125312</v>
      </c>
      <c r="AY29" s="72">
        <f t="shared" si="2"/>
        <v>0.41114560733045685</v>
      </c>
      <c r="AZ29" s="72">
        <f t="shared" si="2"/>
        <v>0.89266814707455222</v>
      </c>
      <c r="BA29" s="72">
        <f t="shared" si="2"/>
        <v>1.7302429684528395</v>
      </c>
      <c r="BB29" s="72">
        <f t="shared" si="2"/>
        <v>1.5576277356493688</v>
      </c>
      <c r="BC29" s="72">
        <f t="shared" si="2"/>
        <v>1.5502669284724566</v>
      </c>
      <c r="BD29" s="72">
        <f t="shared" si="2"/>
        <v>1.3521579458548667</v>
      </c>
      <c r="BE29" s="72">
        <f t="shared" si="2"/>
        <v>1.2111981571278281</v>
      </c>
      <c r="BF29" s="72">
        <f t="shared" si="2"/>
        <v>1.1019740841431747</v>
      </c>
      <c r="BG29" s="72">
        <f t="shared" si="2"/>
        <v>1.2515670286159937</v>
      </c>
      <c r="BH29" s="72">
        <f t="shared" si="2"/>
        <v>1.037700904566343</v>
      </c>
      <c r="BI29" s="72">
        <f t="shared" si="2"/>
        <v>1.0273306345376312</v>
      </c>
      <c r="BJ29" s="72">
        <f t="shared" si="2"/>
        <v>1.1432911200988729</v>
      </c>
      <c r="BK29" s="72">
        <f t="shared" si="2"/>
        <v>1.3252479932898873</v>
      </c>
      <c r="BL29" s="72">
        <f t="shared" si="2"/>
        <v>1.1108081728571684</v>
      </c>
      <c r="BM29" s="72">
        <f t="shared" si="2"/>
        <v>1.2147728522471546</v>
      </c>
      <c r="BN29" s="72">
        <f t="shared" ref="BN29:DY29" si="3">(BN7/1000000000)/BN23%</f>
        <v>2.1589314719951149</v>
      </c>
      <c r="BO29" s="72">
        <f t="shared" si="3"/>
        <v>1.7851065148077718</v>
      </c>
      <c r="BP29" s="72">
        <f t="shared" si="3"/>
        <v>1.3660262743216423</v>
      </c>
      <c r="BQ29" s="72">
        <f t="shared" si="3"/>
        <v>1.3523965811557077</v>
      </c>
      <c r="BR29" s="72">
        <f t="shared" si="3"/>
        <v>0.96354901656399838</v>
      </c>
      <c r="BS29" s="72">
        <f t="shared" si="3"/>
        <v>0.76290770081326209</v>
      </c>
      <c r="BT29" s="72">
        <f t="shared" si="3"/>
        <v>1.6230159985028141</v>
      </c>
      <c r="BU29" s="72">
        <f t="shared" si="3"/>
        <v>0.5974731059476176</v>
      </c>
      <c r="BV29" s="72">
        <f t="shared" si="3"/>
        <v>0.87070345271632654</v>
      </c>
      <c r="BW29" s="72">
        <f t="shared" si="3"/>
        <v>0.58222635929344779</v>
      </c>
      <c r="BX29" s="72">
        <f t="shared" si="3"/>
        <v>0.6864223305551187</v>
      </c>
      <c r="BY29" s="72">
        <f t="shared" si="3"/>
        <v>0.45996353172333354</v>
      </c>
      <c r="BZ29" s="72">
        <f t="shared" si="3"/>
        <v>1.7471869702089231</v>
      </c>
      <c r="CA29" s="72">
        <f t="shared" si="3"/>
        <v>1.0136065235976452</v>
      </c>
      <c r="CB29" s="72">
        <f t="shared" si="3"/>
        <v>1.8673195634701605</v>
      </c>
      <c r="CC29" s="72">
        <f t="shared" si="3"/>
        <v>1.2659993973125332</v>
      </c>
      <c r="CD29" s="72">
        <f t="shared" si="3"/>
        <v>1.0819102731060677</v>
      </c>
      <c r="CE29" s="72">
        <f t="shared" si="3"/>
        <v>1.1458597356350613</v>
      </c>
      <c r="CF29" s="72">
        <f t="shared" si="3"/>
        <v>1.3871801093871079</v>
      </c>
      <c r="CG29" s="72">
        <f t="shared" si="3"/>
        <v>1.3690267496699406</v>
      </c>
      <c r="CH29" s="72">
        <f t="shared" si="3"/>
        <v>0.73029242023590146</v>
      </c>
      <c r="CI29" s="72">
        <f t="shared" si="3"/>
        <v>1.2755510850467289</v>
      </c>
      <c r="CJ29" s="72">
        <f t="shared" si="3"/>
        <v>1.2217647952917092</v>
      </c>
      <c r="CK29" s="72">
        <f t="shared" si="3"/>
        <v>0.70728048513800423</v>
      </c>
      <c r="CL29" s="72">
        <f t="shared" si="3"/>
        <v>1.1590094370229007</v>
      </c>
      <c r="CM29" s="72">
        <f t="shared" si="3"/>
        <v>1.8379677983823239</v>
      </c>
      <c r="CN29" s="72">
        <f t="shared" si="3"/>
        <v>1.577204219107267</v>
      </c>
      <c r="CO29" s="72">
        <f t="shared" si="3"/>
        <v>0.57311522315060115</v>
      </c>
      <c r="CP29" s="72">
        <f t="shared" si="3"/>
        <v>0.48474566045028511</v>
      </c>
      <c r="CQ29" s="72">
        <f t="shared" si="3"/>
        <v>0.53974778550961933</v>
      </c>
      <c r="CR29" s="72">
        <f t="shared" si="3"/>
        <v>0.53264720083730666</v>
      </c>
      <c r="CS29" s="72">
        <f t="shared" si="3"/>
        <v>0.48459438513513514</v>
      </c>
      <c r="CT29" s="72">
        <f t="shared" si="3"/>
        <v>0.74269243899644866</v>
      </c>
      <c r="CU29" s="72">
        <f t="shared" si="3"/>
        <v>0.41355821546898208</v>
      </c>
      <c r="CV29" s="72">
        <f t="shared" si="3"/>
        <v>0.52534652754590982</v>
      </c>
      <c r="CW29" s="72">
        <f t="shared" si="3"/>
        <v>0.47897506306087806</v>
      </c>
      <c r="CX29" s="72">
        <f t="shared" si="3"/>
        <v>0.65505698944084467</v>
      </c>
      <c r="CY29" s="72">
        <f t="shared" si="3"/>
        <v>0.77199761060908345</v>
      </c>
      <c r="CZ29" s="72">
        <f t="shared" si="3"/>
        <v>0.3581219292989814</v>
      </c>
      <c r="DA29" s="72">
        <f t="shared" si="3"/>
        <v>1.7562661833189601</v>
      </c>
      <c r="DB29" s="72">
        <f t="shared" si="3"/>
        <v>0.65629343652865846</v>
      </c>
      <c r="DC29" s="72">
        <f t="shared" si="3"/>
        <v>2.3769835427834032</v>
      </c>
      <c r="DD29" s="72">
        <f t="shared" si="3"/>
        <v>1.837781711938766</v>
      </c>
      <c r="DE29" s="72">
        <f t="shared" si="3"/>
        <v>3.5417382161290321</v>
      </c>
      <c r="DF29" s="72">
        <f t="shared" si="3"/>
        <v>1.1849304065836299</v>
      </c>
      <c r="DG29" s="72">
        <f t="shared" si="3"/>
        <v>1.144897914257393</v>
      </c>
      <c r="DH29" s="72">
        <f t="shared" si="3"/>
        <v>1.9798243000401121</v>
      </c>
      <c r="DI29" s="72">
        <f t="shared" si="3"/>
        <v>1.0313605273719697</v>
      </c>
      <c r="DJ29" s="72">
        <f t="shared" si="3"/>
        <v>2.3715228036371507</v>
      </c>
      <c r="DK29" s="72">
        <f t="shared" si="3"/>
        <v>3.6149255299347134</v>
      </c>
      <c r="DL29" s="72">
        <f t="shared" si="3"/>
        <v>1.4014566903289287</v>
      </c>
      <c r="DM29" s="72">
        <f t="shared" si="3"/>
        <v>1.9962225977763244</v>
      </c>
      <c r="DN29" s="72">
        <f t="shared" si="3"/>
        <v>2.9170409697039252</v>
      </c>
      <c r="DO29" s="72">
        <f t="shared" si="3"/>
        <v>1.7670043653996748</v>
      </c>
      <c r="DP29" s="72">
        <f t="shared" si="3"/>
        <v>0.86717943700738132</v>
      </c>
      <c r="DQ29" s="72">
        <f t="shared" si="3"/>
        <v>0.68396848628367568</v>
      </c>
      <c r="DR29" s="72">
        <f t="shared" si="3"/>
        <v>1.0426303587154977</v>
      </c>
      <c r="DS29" s="72">
        <f t="shared" si="3"/>
        <v>0.56618104180867979</v>
      </c>
      <c r="DT29" s="72">
        <f t="shared" si="3"/>
        <v>0.89855623271889395</v>
      </c>
      <c r="DU29" s="72">
        <f t="shared" si="3"/>
        <v>1.2021436260564833</v>
      </c>
      <c r="DV29" s="72">
        <f t="shared" si="3"/>
        <v>2.3858364443674862</v>
      </c>
      <c r="DW29" s="72">
        <f t="shared" si="3"/>
        <v>4.2451587735163505</v>
      </c>
      <c r="DX29" s="72">
        <f t="shared" si="3"/>
        <v>2.1277013646297043</v>
      </c>
      <c r="DY29" s="72">
        <f t="shared" si="3"/>
        <v>1.9956753763230872</v>
      </c>
      <c r="DZ29" s="72">
        <f t="shared" ref="DZ29:GK29" si="4">(DZ7/1000000000)/DZ23%</f>
        <v>5.366821603467308</v>
      </c>
      <c r="EA29" s="72">
        <f t="shared" si="4"/>
        <v>3.9348137504342793</v>
      </c>
      <c r="EB29" s="72">
        <f t="shared" si="4"/>
        <v>2.5095730909456471</v>
      </c>
      <c r="EC29" s="72">
        <f t="shared" si="4"/>
        <v>1.4044513879694098</v>
      </c>
      <c r="ED29" s="72">
        <f t="shared" si="4"/>
        <v>1.5134057576261049</v>
      </c>
      <c r="EE29" s="72">
        <f t="shared" si="4"/>
        <v>1.3143005354877477</v>
      </c>
      <c r="EF29" s="72">
        <f t="shared" si="4"/>
        <v>1.281270110820967</v>
      </c>
      <c r="EG29" s="72">
        <f t="shared" si="4"/>
        <v>1.1759259743676225</v>
      </c>
      <c r="EH29" s="72">
        <f t="shared" si="4"/>
        <v>1.1545473201115588</v>
      </c>
      <c r="EI29" s="72">
        <f t="shared" si="4"/>
        <v>1.5522945031597952</v>
      </c>
      <c r="EJ29" s="72">
        <f t="shared" si="4"/>
        <v>2.6524016918454452</v>
      </c>
      <c r="EK29" s="72">
        <f t="shared" si="4"/>
        <v>1.7438809425533814</v>
      </c>
      <c r="EL29" s="72">
        <f t="shared" si="4"/>
        <v>1.5549278136000446</v>
      </c>
      <c r="EM29" s="72">
        <f t="shared" si="4"/>
        <v>1.4804842668072764</v>
      </c>
      <c r="EN29" s="72">
        <f t="shared" si="4"/>
        <v>0.98870659801155814</v>
      </c>
      <c r="EO29" s="72">
        <f t="shared" si="4"/>
        <v>1.1074608613830288</v>
      </c>
      <c r="EP29" s="72">
        <f t="shared" si="4"/>
        <v>1.5073512870208026</v>
      </c>
      <c r="EQ29" s="72">
        <f t="shared" si="4"/>
        <v>1.8362990196123148</v>
      </c>
      <c r="ER29" s="72">
        <f t="shared" si="4"/>
        <v>2.9432297090263533</v>
      </c>
      <c r="ES29" s="72">
        <f t="shared" si="4"/>
        <v>1.794684902023429</v>
      </c>
      <c r="ET29" s="72">
        <f t="shared" si="4"/>
        <v>2.0706814007242005</v>
      </c>
      <c r="EU29" s="72">
        <f t="shared" si="4"/>
        <v>0.96332832365569421</v>
      </c>
      <c r="EV29" s="72">
        <f t="shared" si="4"/>
        <v>1.278724901726642</v>
      </c>
      <c r="EW29" s="72">
        <f t="shared" si="4"/>
        <v>1.8692541270012315</v>
      </c>
      <c r="EX29" s="72">
        <f t="shared" si="4"/>
        <v>1.817172811513337</v>
      </c>
      <c r="EY29" s="72">
        <f t="shared" si="4"/>
        <v>1.7814181629678265</v>
      </c>
      <c r="EZ29" s="72">
        <f t="shared" si="4"/>
        <v>1.6627616782995838</v>
      </c>
      <c r="FA29" s="72">
        <f t="shared" si="4"/>
        <v>0.85237656095890424</v>
      </c>
      <c r="FB29" s="72">
        <f t="shared" si="4"/>
        <v>1.2152797571560481</v>
      </c>
      <c r="FC29" s="72">
        <f t="shared" si="4"/>
        <v>1.0959752933650697</v>
      </c>
      <c r="FD29" s="72">
        <f t="shared" si="4"/>
        <v>1.6508632735959266</v>
      </c>
      <c r="FE29" s="72">
        <f t="shared" si="4"/>
        <v>0.90460577651845375</v>
      </c>
      <c r="FF29" s="72">
        <f t="shared" si="4"/>
        <v>0.62127621710037173</v>
      </c>
      <c r="FG29" s="72">
        <f t="shared" si="4"/>
        <v>1.1170235784906246</v>
      </c>
      <c r="FH29" s="73">
        <f t="shared" si="4"/>
        <v>0.94558185334924671</v>
      </c>
      <c r="FI29" s="73">
        <f t="shared" si="4"/>
        <v>0.84575947084727421</v>
      </c>
      <c r="FJ29" s="73">
        <f t="shared" si="4"/>
        <v>1.0013490372330216</v>
      </c>
      <c r="FK29" s="73">
        <f t="shared" si="4"/>
        <v>1.3529779485303897</v>
      </c>
      <c r="FL29" s="74">
        <f t="shared" si="4"/>
        <v>2.8457827803675215</v>
      </c>
      <c r="FM29" s="74">
        <f t="shared" si="4"/>
        <v>0.85911583085957444</v>
      </c>
      <c r="FN29" s="74">
        <f t="shared" si="4"/>
        <v>1.641315147202655</v>
      </c>
      <c r="FO29" s="74">
        <f t="shared" si="4"/>
        <v>1.5372080113954592</v>
      </c>
      <c r="FP29" s="74">
        <f t="shared" si="4"/>
        <v>1.1194261474127418</v>
      </c>
      <c r="FQ29" s="74">
        <f t="shared" si="4"/>
        <v>0.47873093991974236</v>
      </c>
      <c r="FR29" s="74">
        <f t="shared" si="4"/>
        <v>1.558687291127909</v>
      </c>
      <c r="FS29" s="74">
        <f t="shared" si="4"/>
        <v>0.63876723635134636</v>
      </c>
      <c r="FT29" s="74">
        <f t="shared" si="4"/>
        <v>0.31767917076393393</v>
      </c>
      <c r="FU29" s="74">
        <f t="shared" si="4"/>
        <v>0.96237153028405886</v>
      </c>
      <c r="FV29" s="74">
        <f t="shared" si="4"/>
        <v>1.0345553070904348</v>
      </c>
      <c r="FW29" s="74">
        <f t="shared" si="4"/>
        <v>1.269185901917308</v>
      </c>
      <c r="FX29" s="74">
        <f t="shared" si="4"/>
        <v>1.0069209242475645</v>
      </c>
      <c r="FY29" s="74">
        <f t="shared" si="4"/>
        <v>0.74336865362822147</v>
      </c>
      <c r="FZ29" s="74">
        <f t="shared" si="4"/>
        <v>0.43185073053650153</v>
      </c>
      <c r="GA29" s="74">
        <f t="shared" si="4"/>
        <v>0.93000544772660754</v>
      </c>
      <c r="GB29" s="74">
        <f t="shared" si="4"/>
        <v>1.1663707015572711</v>
      </c>
      <c r="GC29" s="74">
        <f t="shared" si="4"/>
        <v>5.4383980035931101</v>
      </c>
      <c r="GD29" s="74">
        <f t="shared" si="4"/>
        <v>0.66224864770416547</v>
      </c>
      <c r="GE29" s="74">
        <f t="shared" si="4"/>
        <v>0.73780275280616092</v>
      </c>
      <c r="GF29" s="74">
        <f t="shared" si="4"/>
        <v>1.6949309479897179</v>
      </c>
      <c r="GG29" s="74">
        <f t="shared" si="4"/>
        <v>0.8088062334034819</v>
      </c>
      <c r="GH29" s="74">
        <f t="shared" si="4"/>
        <v>0.58398697261351451</v>
      </c>
      <c r="GI29" s="74">
        <f t="shared" si="4"/>
        <v>0.5885159252965424</v>
      </c>
      <c r="GJ29" s="74">
        <f t="shared" si="4"/>
        <v>0.61567146461814504</v>
      </c>
      <c r="GK29" s="74">
        <f t="shared" si="4"/>
        <v>0.27391953131073421</v>
      </c>
      <c r="GL29" s="74">
        <f t="shared" ref="GL29:IY29" si="5">(GL7/1000000000)/GL23%</f>
        <v>0.45290169096062349</v>
      </c>
      <c r="GM29" s="74">
        <f t="shared" si="5"/>
        <v>0.77368546060617049</v>
      </c>
      <c r="GN29" s="74">
        <f t="shared" si="5"/>
        <v>1.9205073105523385</v>
      </c>
      <c r="GO29" s="74">
        <f t="shared" si="5"/>
        <v>0.44136208617120731</v>
      </c>
      <c r="GP29" s="74">
        <f t="shared" si="5"/>
        <v>1.9002920062634292</v>
      </c>
      <c r="GQ29" s="74">
        <f t="shared" si="5"/>
        <v>2.0719120322497293</v>
      </c>
      <c r="GR29" s="74">
        <f t="shared" si="5"/>
        <v>1.1654954410125578</v>
      </c>
      <c r="GS29" s="74">
        <f t="shared" si="5"/>
        <v>1.075057622646481</v>
      </c>
      <c r="GT29" s="74">
        <f t="shared" si="5"/>
        <v>2.022441168442183</v>
      </c>
      <c r="GU29" s="74">
        <f t="shared" si="5"/>
        <v>1.9932311860976959</v>
      </c>
      <c r="GV29" s="74">
        <f t="shared" si="5"/>
        <v>1.31898218536066</v>
      </c>
      <c r="GW29" s="74">
        <f t="shared" si="5"/>
        <v>2.1936839738970479</v>
      </c>
      <c r="GX29" s="74">
        <f t="shared" si="5"/>
        <v>2.3715426248739586</v>
      </c>
      <c r="GY29" s="74">
        <f t="shared" si="5"/>
        <v>2.3127498250970282</v>
      </c>
      <c r="GZ29" s="74">
        <f t="shared" si="5"/>
        <v>2.7025282129761159</v>
      </c>
      <c r="HA29" s="74">
        <f t="shared" si="5"/>
        <v>1.9555222331756335</v>
      </c>
      <c r="HB29" s="74">
        <f t="shared" si="5"/>
        <v>2.4969214900846985</v>
      </c>
      <c r="HC29" s="74">
        <f t="shared" si="5"/>
        <v>3.5395170434400991</v>
      </c>
      <c r="HD29" s="74">
        <f t="shared" si="5"/>
        <v>3.2772842722014452</v>
      </c>
      <c r="HE29" s="74">
        <f t="shared" si="5"/>
        <v>2.9090156633776045</v>
      </c>
      <c r="HF29" s="74">
        <f t="shared" si="5"/>
        <v>3.7753822017446592</v>
      </c>
      <c r="HG29" s="74">
        <f t="shared" si="5"/>
        <v>4.0808532891675346</v>
      </c>
      <c r="HH29" s="74">
        <f t="shared" si="5"/>
        <v>1.4585852833958723</v>
      </c>
      <c r="HI29" s="74">
        <f t="shared" si="5"/>
        <v>1.9529530749219779</v>
      </c>
      <c r="HJ29" s="74">
        <f t="shared" si="5"/>
        <v>3.1576101380442614</v>
      </c>
      <c r="HK29" s="74">
        <f t="shared" si="5"/>
        <v>2.3265723004227135</v>
      </c>
      <c r="HL29" s="74">
        <f t="shared" si="5"/>
        <v>2.1780103380136491</v>
      </c>
      <c r="HM29" s="74">
        <f t="shared" si="5"/>
        <v>1.2506558063815758</v>
      </c>
      <c r="HN29" s="74">
        <f t="shared" si="5"/>
        <v>1.9733278198726159</v>
      </c>
      <c r="HO29" s="74">
        <f t="shared" si="5"/>
        <v>2.6017250686510049</v>
      </c>
      <c r="HP29" s="74">
        <f t="shared" si="5"/>
        <v>1.4125196665848572</v>
      </c>
      <c r="HQ29" s="74">
        <f t="shared" si="5"/>
        <v>2.4018225872756536</v>
      </c>
      <c r="HR29" s="74">
        <f t="shared" si="5"/>
        <v>2.3829642537056044</v>
      </c>
      <c r="HS29" s="74">
        <f t="shared" si="5"/>
        <v>1.1114634716730221</v>
      </c>
      <c r="HT29" s="74">
        <f t="shared" si="5"/>
        <v>0.93144615154725141</v>
      </c>
      <c r="HU29" s="74">
        <f t="shared" si="5"/>
        <v>0.80921777145902885</v>
      </c>
      <c r="HV29" s="74">
        <f t="shared" si="5"/>
        <v>0.91653748475383012</v>
      </c>
      <c r="HW29" s="74">
        <f t="shared" si="5"/>
        <v>1.4719657299193476</v>
      </c>
      <c r="HX29" s="74">
        <f t="shared" si="5"/>
        <v>1.6469689481685357</v>
      </c>
      <c r="HY29" s="74">
        <f t="shared" si="5"/>
        <v>0.44662898166006421</v>
      </c>
      <c r="HZ29" s="74">
        <f t="shared" si="5"/>
        <v>0.46330717564262869</v>
      </c>
      <c r="IA29" s="74">
        <f t="shared" si="5"/>
        <v>0.93769595701660846</v>
      </c>
      <c r="IB29" s="74">
        <f t="shared" si="5"/>
        <v>0.47156442422382266</v>
      </c>
      <c r="IC29" s="74">
        <f t="shared" si="5"/>
        <v>0.67343323690813361</v>
      </c>
      <c r="ID29" s="74">
        <f t="shared" si="5"/>
        <v>1.4657337249220965</v>
      </c>
      <c r="IE29" s="74">
        <f t="shared" si="5"/>
        <v>0.69899687648844044</v>
      </c>
      <c r="IF29" s="74">
        <f t="shared" si="5"/>
        <v>0.68721464039787628</v>
      </c>
      <c r="IG29" s="74">
        <f t="shared" si="5"/>
        <v>0.56963008299578333</v>
      </c>
      <c r="IH29" s="74">
        <f t="shared" si="5"/>
        <v>1.0955360870615929</v>
      </c>
      <c r="II29" s="74">
        <f t="shared" si="5"/>
        <v>0.731254539773882</v>
      </c>
      <c r="IJ29" s="74">
        <f t="shared" si="5"/>
        <v>0.78578559601083653</v>
      </c>
      <c r="IK29" s="74">
        <f t="shared" si="5"/>
        <v>0.72880120578228313</v>
      </c>
      <c r="IL29" s="74">
        <f t="shared" si="5"/>
        <v>1.1485284959949069</v>
      </c>
      <c r="IM29" s="74">
        <f t="shared" si="5"/>
        <v>0.7462958036618258</v>
      </c>
      <c r="IN29" s="74">
        <f t="shared" si="5"/>
        <v>0.46907667200378761</v>
      </c>
      <c r="IO29" s="74">
        <f t="shared" si="5"/>
        <v>0.57790331627047542</v>
      </c>
      <c r="IP29" s="74">
        <f t="shared" si="5"/>
        <v>0.51606516555377058</v>
      </c>
      <c r="IQ29" s="74">
        <f t="shared" si="5"/>
        <v>0.71172926721318086</v>
      </c>
      <c r="IR29" s="74">
        <f t="shared" si="5"/>
        <v>0.52552612171256619</v>
      </c>
      <c r="IS29" s="74">
        <f t="shared" si="5"/>
        <v>0.5214201413878613</v>
      </c>
      <c r="IT29" s="74">
        <f t="shared" si="5"/>
        <v>0.85356033570144196</v>
      </c>
      <c r="IU29" s="74">
        <f t="shared" si="5"/>
        <v>0.72155828214750706</v>
      </c>
      <c r="IV29" s="74">
        <f>(IV7/1000000000)/IV23%</f>
        <v>0.49944495316253001</v>
      </c>
      <c r="IW29" s="74">
        <f t="shared" si="5"/>
        <v>0.80603320290377778</v>
      </c>
      <c r="IX29" s="74">
        <f t="shared" si="5"/>
        <v>0.89833662566280259</v>
      </c>
      <c r="IY29" s="74">
        <f t="shared" si="5"/>
        <v>0.6931400197529386</v>
      </c>
      <c r="IZ29" s="75">
        <f>(IZ7/1000000000)/IZ23%</f>
        <v>1.2011926546185161</v>
      </c>
      <c r="JA29" s="75">
        <f>(JA7/1000000000)/JA23%</f>
        <v>1.3729392609791289</v>
      </c>
      <c r="JB29" s="76">
        <f>(JB7/1000000000)/JB23%</f>
        <v>1.5050136482788985</v>
      </c>
      <c r="JC29" s="76">
        <f t="shared" ref="JC29:JQ29" si="6">(JC7/1000000000)/JC23%</f>
        <v>1.2556518117997402</v>
      </c>
      <c r="JD29" s="76">
        <f t="shared" si="6"/>
        <v>1.3427197574032639</v>
      </c>
      <c r="JE29" s="75">
        <f t="shared" si="6"/>
        <v>0.78335740281365351</v>
      </c>
      <c r="JF29" s="75">
        <f t="shared" si="6"/>
        <v>0.81691405767422898</v>
      </c>
      <c r="JG29" s="75">
        <f t="shared" si="6"/>
        <v>0.78013302948342622</v>
      </c>
      <c r="JH29" s="75">
        <f t="shared" si="6"/>
        <v>0.59739317975075834</v>
      </c>
      <c r="JI29" s="75">
        <f t="shared" si="6"/>
        <v>0.43694513000751151</v>
      </c>
      <c r="JJ29" s="75">
        <f t="shared" si="6"/>
        <v>0.89086090615076641</v>
      </c>
      <c r="JK29" s="75">
        <f t="shared" si="6"/>
        <v>0.53879086221346151</v>
      </c>
      <c r="JL29" s="75">
        <f t="shared" si="6"/>
        <v>0.81918106922054656</v>
      </c>
      <c r="JM29" s="75">
        <f t="shared" si="6"/>
        <v>1.1018505757423478</v>
      </c>
      <c r="JN29" s="75">
        <f t="shared" si="6"/>
        <v>0.52965119786947346</v>
      </c>
      <c r="JO29" s="75">
        <f t="shared" si="6"/>
        <v>0.69286562528841711</v>
      </c>
      <c r="JP29" s="75">
        <f t="shared" si="6"/>
        <v>0.45831334329950502</v>
      </c>
      <c r="JQ29" s="75">
        <f t="shared" si="6"/>
        <v>0.69745580415248465</v>
      </c>
      <c r="JR29" s="75">
        <f>(JR7/1000000000)/JR23%</f>
        <v>0.52523639492954421</v>
      </c>
      <c r="JS29" s="75">
        <f>(JS7/1000000000)/JS23%</f>
        <v>0.4810744834245374</v>
      </c>
      <c r="JT29" s="75">
        <f>(JT7/1000000000)/JT23%</f>
        <v>0.69250986373566881</v>
      </c>
      <c r="JU29" s="75">
        <f t="shared" ref="JU29:KV29" si="7">(JU7/1000000000)/JU23%</f>
        <v>0.51347617095377707</v>
      </c>
      <c r="JV29" s="75">
        <f t="shared" si="7"/>
        <v>0.61638394051978018</v>
      </c>
      <c r="JW29" s="77">
        <f t="shared" si="7"/>
        <v>0.41310264621302656</v>
      </c>
      <c r="JX29" s="78">
        <f t="shared" si="7"/>
        <v>0.44016545739808272</v>
      </c>
      <c r="JY29" s="78">
        <f t="shared" si="7"/>
        <v>0.74499394776465344</v>
      </c>
      <c r="JZ29" s="78">
        <f t="shared" si="7"/>
        <v>0.5485825195284455</v>
      </c>
      <c r="KA29" s="78">
        <f t="shared" si="7"/>
        <v>0.36054896968942823</v>
      </c>
      <c r="KB29" s="78">
        <f t="shared" si="7"/>
        <v>0.31093796482071956</v>
      </c>
      <c r="KC29" s="78">
        <f t="shared" si="7"/>
        <v>0.85341655945742179</v>
      </c>
      <c r="KD29" s="78">
        <f t="shared" si="7"/>
        <v>0.503721191997335</v>
      </c>
      <c r="KE29" s="78">
        <f t="shared" si="7"/>
        <v>0.46524442447376224</v>
      </c>
      <c r="KF29" s="78">
        <f t="shared" si="7"/>
        <v>0.72847289714817887</v>
      </c>
      <c r="KG29" s="78">
        <f t="shared" si="7"/>
        <v>0.89940215207802621</v>
      </c>
      <c r="KH29" s="78">
        <f t="shared" si="7"/>
        <v>0.59259760639991332</v>
      </c>
      <c r="KI29" s="78">
        <f t="shared" si="7"/>
        <v>0.7007726917727366</v>
      </c>
      <c r="KJ29" s="80">
        <f t="shared" si="7"/>
        <v>0.48272401960035211</v>
      </c>
      <c r="KK29" s="80">
        <f t="shared" si="7"/>
        <v>0.48102039154516441</v>
      </c>
      <c r="KL29" s="81">
        <f t="shared" si="7"/>
        <v>0.91012923081138475</v>
      </c>
      <c r="KM29" s="91">
        <f>(KM7/1000000000)/KM23%</f>
        <v>0.7919867452596594</v>
      </c>
      <c r="KN29" s="91">
        <f t="shared" si="7"/>
        <v>0.69272010168818821</v>
      </c>
      <c r="KO29" s="91">
        <f t="shared" si="7"/>
        <v>0.37742767615519662</v>
      </c>
      <c r="KP29" s="91">
        <f t="shared" si="7"/>
        <v>0.58950817445390291</v>
      </c>
      <c r="KQ29" s="91">
        <f t="shared" si="7"/>
        <v>0.6405439815845192</v>
      </c>
      <c r="KR29" s="91">
        <f t="shared" si="7"/>
        <v>1.1024298766120069</v>
      </c>
      <c r="KS29" s="91">
        <f t="shared" si="7"/>
        <v>0.38243075520209885</v>
      </c>
      <c r="KT29" s="91">
        <f t="shared" si="7"/>
        <v>0.52665670617794458</v>
      </c>
      <c r="KU29" s="91">
        <f t="shared" si="7"/>
        <v>0.40040229127501931</v>
      </c>
      <c r="KV29" s="91">
        <f t="shared" si="7"/>
        <v>0.30047167439614531</v>
      </c>
      <c r="KW29" s="91">
        <f t="shared" ref="KW29:LP29" si="8">(KW7/1000000000)/KW23%</f>
        <v>0.42222084945866623</v>
      </c>
      <c r="KX29" s="91">
        <f t="shared" si="8"/>
        <v>0.39654107905959624</v>
      </c>
      <c r="KY29" s="91">
        <f t="shared" si="8"/>
        <v>0.63043467664381225</v>
      </c>
      <c r="KZ29" s="91">
        <f t="shared" si="8"/>
        <v>0.87778122318029717</v>
      </c>
      <c r="LA29" s="91">
        <f t="shared" si="8"/>
        <v>0.58761803676768398</v>
      </c>
      <c r="LB29" s="91">
        <f t="shared" si="8"/>
        <v>0.43427604579552764</v>
      </c>
      <c r="LC29" s="91">
        <f t="shared" si="8"/>
        <v>0.52211951566626691</v>
      </c>
      <c r="LD29" s="91">
        <f t="shared" si="8"/>
        <v>0.43763094711999695</v>
      </c>
      <c r="LE29" s="91">
        <f t="shared" si="8"/>
        <v>0.30412373899421186</v>
      </c>
      <c r="LF29" s="91">
        <f t="shared" si="8"/>
        <v>0.33473179393111052</v>
      </c>
      <c r="LG29" s="91">
        <f t="shared" si="8"/>
        <v>0.38972229057850977</v>
      </c>
      <c r="LH29" s="91">
        <f t="shared" si="8"/>
        <v>0.89445567116168856</v>
      </c>
      <c r="LI29" s="91">
        <f t="shared" si="8"/>
        <v>0.52798640304406785</v>
      </c>
      <c r="LJ29" s="91">
        <f t="shared" si="8"/>
        <v>0.5468399974531416</v>
      </c>
      <c r="LK29" s="91">
        <f t="shared" si="8"/>
        <v>0.59488616259297467</v>
      </c>
      <c r="LL29" s="91">
        <f t="shared" si="8"/>
        <v>0.87809724436723779</v>
      </c>
      <c r="LM29" s="91">
        <f t="shared" si="8"/>
        <v>0.39188944488673627</v>
      </c>
      <c r="LN29" s="91">
        <f t="shared" si="8"/>
        <v>1.3691125515825158</v>
      </c>
      <c r="LO29" s="91">
        <f t="shared" si="8"/>
        <v>0.32305755266144698</v>
      </c>
      <c r="LP29" s="91">
        <f t="shared" si="8"/>
        <v>0.2971722952444944</v>
      </c>
      <c r="LQ29" s="218"/>
      <c r="LR29" s="91">
        <f t="shared" ref="LR29:NF29" si="9">(LR7/1000000000)/LR23%</f>
        <v>1.0065928349639672</v>
      </c>
      <c r="LS29" s="91">
        <f t="shared" si="9"/>
        <v>1.2089778118411256</v>
      </c>
      <c r="LT29" s="91">
        <f t="shared" si="9"/>
        <v>1.102111024559745</v>
      </c>
      <c r="LU29" s="91">
        <f t="shared" si="9"/>
        <v>1.5913897187191035</v>
      </c>
      <c r="LV29" s="127">
        <f t="shared" si="9"/>
        <v>1.9244491239444648</v>
      </c>
      <c r="LW29" s="91">
        <f t="shared" si="9"/>
        <v>2.3321929174985763</v>
      </c>
      <c r="LX29" s="91">
        <f t="shared" si="9"/>
        <v>1.9555728918921891</v>
      </c>
      <c r="LY29" s="91">
        <f t="shared" si="9"/>
        <v>2.2819504589194937</v>
      </c>
      <c r="LZ29" s="91">
        <f t="shared" si="9"/>
        <v>4.9026743313408021</v>
      </c>
      <c r="MA29" s="91">
        <f t="shared" si="9"/>
        <v>2.9895038487442767</v>
      </c>
      <c r="MB29" s="127">
        <f t="shared" si="9"/>
        <v>1.3160217060612098</v>
      </c>
      <c r="MC29" s="91">
        <f t="shared" si="9"/>
        <v>1.6671824473071599</v>
      </c>
      <c r="MD29" s="91">
        <f t="shared" si="9"/>
        <v>1.1328257769400938</v>
      </c>
      <c r="ME29" s="91">
        <f t="shared" si="9"/>
        <v>1.3391762191087648</v>
      </c>
      <c r="MF29" s="91">
        <f t="shared" si="9"/>
        <v>1.4953918482969812</v>
      </c>
      <c r="MG29" s="91">
        <f t="shared" si="9"/>
        <v>3.5792912017578424</v>
      </c>
      <c r="MH29" s="91">
        <f t="shared" si="9"/>
        <v>3.1958882884171524</v>
      </c>
      <c r="MI29" s="91">
        <f t="shared" si="9"/>
        <v>1.7149963715946648</v>
      </c>
      <c r="MJ29" s="91">
        <f t="shared" si="9"/>
        <v>3.0042843593570359</v>
      </c>
      <c r="MK29" s="91">
        <f t="shared" si="9"/>
        <v>2.7161084624269245</v>
      </c>
      <c r="ML29" s="127">
        <f t="shared" si="9"/>
        <v>2.8235564818948116</v>
      </c>
      <c r="MM29" s="91">
        <f t="shared" si="9"/>
        <v>1.6486333525205883</v>
      </c>
      <c r="MN29" s="144">
        <f t="shared" si="9"/>
        <v>1.362628688226839</v>
      </c>
      <c r="MO29" s="91">
        <f t="shared" si="9"/>
        <v>0.54984624222437806</v>
      </c>
      <c r="MP29" s="91">
        <f t="shared" si="9"/>
        <v>0.8295448290729649</v>
      </c>
      <c r="MQ29" s="91">
        <f t="shared" si="9"/>
        <v>0.72057241024320384</v>
      </c>
      <c r="MR29" s="163">
        <f t="shared" si="9"/>
        <v>0.62002337861353474</v>
      </c>
      <c r="MS29" s="164">
        <f t="shared" si="9"/>
        <v>1.9465172871111291</v>
      </c>
      <c r="MT29" s="164">
        <f t="shared" si="9"/>
        <v>2.2058698891072135</v>
      </c>
      <c r="MU29" s="164">
        <f t="shared" si="9"/>
        <v>1.0504030038895062</v>
      </c>
      <c r="MV29" s="164">
        <f t="shared" si="9"/>
        <v>0.82500930612423362</v>
      </c>
      <c r="MW29" s="165">
        <f t="shared" si="9"/>
        <v>1.241018078629635</v>
      </c>
      <c r="MX29" s="91">
        <f t="shared" si="9"/>
        <v>0.95689441908820594</v>
      </c>
      <c r="MY29" s="91">
        <f t="shared" si="9"/>
        <v>0.95705402528346595</v>
      </c>
      <c r="MZ29" s="91">
        <f t="shared" si="9"/>
        <v>1.0943792570845949</v>
      </c>
      <c r="NA29" s="91">
        <f t="shared" si="9"/>
        <v>0.40347265663537663</v>
      </c>
      <c r="NB29" s="91">
        <f t="shared" si="9"/>
        <v>0.38895726573659778</v>
      </c>
      <c r="NC29" s="127">
        <f t="shared" si="9"/>
        <v>0.75036563110056187</v>
      </c>
      <c r="ND29" s="91">
        <f t="shared" si="9"/>
        <v>1.6110623956097236</v>
      </c>
      <c r="NE29" s="91">
        <f t="shared" si="9"/>
        <v>1.5507232119938934</v>
      </c>
      <c r="NF29" s="91">
        <f t="shared" si="9"/>
        <v>0.59021877407353529</v>
      </c>
      <c r="NG29" s="91">
        <f t="shared" ref="NG29:NI29" si="10">(NG7/1000000000)/NG23%</f>
        <v>0.45600590230061638</v>
      </c>
      <c r="NH29" s="91">
        <f t="shared" si="10"/>
        <v>0.55696035966917479</v>
      </c>
      <c r="NI29" s="127">
        <f t="shared" si="10"/>
        <v>0.53236955739444991</v>
      </c>
      <c r="NJ29" s="91">
        <f t="shared" ref="NJ29:NL29" si="11">(NJ7/1000000000)/NJ23%</f>
        <v>0.35350895115922687</v>
      </c>
      <c r="NK29" s="91">
        <f t="shared" si="11"/>
        <v>0.78430870184348644</v>
      </c>
      <c r="NL29" s="91">
        <f t="shared" si="11"/>
        <v>0.78247233665222238</v>
      </c>
      <c r="NM29" s="163">
        <f t="shared" ref="NM29:NN29" si="12">(NM7/1000000000)/NM23%</f>
        <v>1.05696899878828</v>
      </c>
      <c r="NN29" s="164">
        <f t="shared" si="12"/>
        <v>0.77537986268534342</v>
      </c>
      <c r="NO29" s="190">
        <f t="shared" ref="NO29:NP29" si="13">(NO7/1000000000)/NO23%</f>
        <v>0.69115352027310928</v>
      </c>
      <c r="NP29" s="164">
        <f t="shared" si="13"/>
        <v>0.51529636823806801</v>
      </c>
      <c r="NQ29" s="164">
        <f t="shared" ref="NQ29:NR29" si="14">(NQ7/1000000000)/NQ23%</f>
        <v>0.34196604862785762</v>
      </c>
      <c r="NR29" s="190">
        <f t="shared" si="14"/>
        <v>0.7169700034688703</v>
      </c>
      <c r="NS29" s="164">
        <f t="shared" ref="NS29:NT29" si="15">(NS7/1000000000)/NS23%</f>
        <v>1.2376421214997424</v>
      </c>
      <c r="NT29" s="164">
        <f t="shared" si="15"/>
        <v>1.5266165884311205</v>
      </c>
      <c r="NU29" s="165">
        <f t="shared" ref="NU29:OG29" si="16">(NU7/1000000000)/NU23%</f>
        <v>2.3354896514829093</v>
      </c>
      <c r="NV29" s="91">
        <f t="shared" si="16"/>
        <v>2.2969196426357512</v>
      </c>
      <c r="NW29" s="91">
        <f t="shared" si="16"/>
        <v>1.0050806707546829</v>
      </c>
      <c r="NX29" s="91">
        <f t="shared" si="16"/>
        <v>0.7197726056610606</v>
      </c>
      <c r="NY29" s="91">
        <f t="shared" si="16"/>
        <v>0.85177254004499947</v>
      </c>
      <c r="NZ29" s="91">
        <f t="shared" si="16"/>
        <v>1.315707847402795</v>
      </c>
      <c r="OA29" s="91">
        <f t="shared" si="16"/>
        <v>1.5265228274683713</v>
      </c>
      <c r="OB29" s="91">
        <f t="shared" si="16"/>
        <v>2.2838325940406259</v>
      </c>
      <c r="OC29" s="91">
        <f t="shared" si="16"/>
        <v>1.7763359288527969</v>
      </c>
      <c r="OD29" s="91">
        <f t="shared" si="16"/>
        <v>1.9188844103009963</v>
      </c>
      <c r="OE29" s="91">
        <f t="shared" si="16"/>
        <v>1.9356173451179262</v>
      </c>
      <c r="OF29" s="91">
        <f t="shared" si="16"/>
        <v>1.1656878221126263</v>
      </c>
      <c r="OG29" s="91">
        <f t="shared" si="16"/>
        <v>0.95251956558866324</v>
      </c>
    </row>
    <row r="30" spans="1:397" ht="12" hidden="1" customHeight="1" x14ac:dyDescent="0.25">
      <c r="A30" s="25" t="s">
        <v>23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4"/>
      <c r="FI30" s="14"/>
      <c r="FJ30" s="14"/>
      <c r="FK30" s="10"/>
      <c r="FL30" s="10"/>
      <c r="FM30" s="12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40"/>
      <c r="JA30" s="19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51"/>
      <c r="JX30" s="58"/>
      <c r="JY30" s="58"/>
      <c r="JZ30" s="58"/>
      <c r="KA30" s="58"/>
      <c r="KB30" s="58"/>
      <c r="KC30" s="58"/>
      <c r="KD30" s="58"/>
      <c r="KE30" s="58"/>
      <c r="KF30" s="58"/>
      <c r="KG30" s="58"/>
      <c r="KH30" s="58"/>
      <c r="KI30" s="58"/>
      <c r="KJ30" s="58"/>
      <c r="KK30" s="58"/>
      <c r="KL30" s="82"/>
      <c r="KM30" s="92"/>
      <c r="KN30" s="92"/>
      <c r="KO30" s="92"/>
      <c r="KP30" s="92"/>
      <c r="KQ30" s="92"/>
      <c r="KR30" s="92"/>
      <c r="KS30" s="92"/>
      <c r="KT30" s="92"/>
      <c r="KU30" s="92"/>
      <c r="KV30" s="92"/>
      <c r="KW30" s="92"/>
      <c r="KX30" s="92"/>
      <c r="KY30" s="92"/>
      <c r="KZ30" s="92"/>
      <c r="LA30" s="92"/>
      <c r="LB30" s="92"/>
      <c r="LC30" s="92"/>
      <c r="LD30" s="92"/>
      <c r="LE30" s="92"/>
      <c r="LF30" s="92"/>
      <c r="LG30" s="92"/>
      <c r="LH30" s="92"/>
      <c r="LI30" s="92"/>
      <c r="LJ30" s="92"/>
      <c r="LK30" s="92"/>
      <c r="LL30" s="92"/>
      <c r="LM30" s="92"/>
      <c r="LN30" s="92"/>
      <c r="LO30" s="92"/>
      <c r="LP30" s="92"/>
      <c r="LQ30" s="218"/>
      <c r="LR30" s="92"/>
      <c r="LS30" s="92"/>
      <c r="LT30" s="110"/>
      <c r="LV30" s="122"/>
      <c r="LW30" s="92"/>
      <c r="LX30" s="92"/>
      <c r="LY30" s="92"/>
      <c r="LZ30" s="92"/>
      <c r="MA30" s="92"/>
      <c r="MB30" s="106"/>
      <c r="MC30" s="92"/>
      <c r="MD30" s="92"/>
      <c r="ME30" s="92"/>
      <c r="MF30" s="92"/>
      <c r="MG30" s="92"/>
      <c r="MH30" s="92"/>
      <c r="MI30" s="92"/>
      <c r="MJ30" s="92"/>
      <c r="MK30" s="92"/>
      <c r="ML30" s="92"/>
      <c r="MM30" s="92"/>
      <c r="MN30" s="139"/>
      <c r="MO30" s="92"/>
      <c r="MP30" s="92"/>
      <c r="MQ30" s="92"/>
      <c r="MR30" s="148"/>
      <c r="MS30" s="149"/>
      <c r="MT30" s="149"/>
      <c r="MU30" s="149"/>
      <c r="MV30" s="149"/>
      <c r="MW30" s="150"/>
      <c r="MX30" s="92"/>
      <c r="MY30" s="92"/>
      <c r="MZ30" s="92"/>
      <c r="ND30" s="92"/>
      <c r="NE30" s="92"/>
      <c r="NF30" s="92"/>
      <c r="NG30" s="92"/>
      <c r="NH30" s="92"/>
      <c r="NI30" s="106"/>
      <c r="NJ30" s="92"/>
      <c r="NK30" s="92"/>
      <c r="NL30" s="92"/>
      <c r="NM30" s="148"/>
      <c r="NN30" s="149"/>
      <c r="NO30" s="185"/>
      <c r="NP30" s="149"/>
      <c r="NQ30" s="149"/>
      <c r="NR30" s="185"/>
      <c r="NS30" s="149"/>
      <c r="NT30" s="149"/>
      <c r="NU30" s="150"/>
      <c r="NV30" s="92"/>
      <c r="OG30" s="139"/>
    </row>
    <row r="31" spans="1:397" s="7" customFormat="1" ht="15" customHeight="1" x14ac:dyDescent="0.25">
      <c r="A31" s="28" t="s">
        <v>24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>
        <f t="shared" ref="N31:BY32" si="17">(N20-B20)/B20%</f>
        <v>99.26986652523648</v>
      </c>
      <c r="O31" s="24">
        <f t="shared" si="17"/>
        <v>143.65575774757693</v>
      </c>
      <c r="P31" s="24">
        <f t="shared" si="17"/>
        <v>107.79812509819664</v>
      </c>
      <c r="Q31" s="24">
        <f t="shared" si="17"/>
        <v>93.937436559933545</v>
      </c>
      <c r="R31" s="24">
        <f t="shared" si="17"/>
        <v>81.564965383996125</v>
      </c>
      <c r="S31" s="24">
        <f t="shared" si="17"/>
        <v>60.008149295085992</v>
      </c>
      <c r="T31" s="24">
        <f t="shared" si="17"/>
        <v>34.724540901502515</v>
      </c>
      <c r="U31" s="24">
        <f t="shared" si="17"/>
        <v>41.978200528061741</v>
      </c>
      <c r="V31" s="24">
        <f t="shared" si="17"/>
        <v>56.431132152924107</v>
      </c>
      <c r="W31" s="24">
        <f t="shared" si="17"/>
        <v>35.517087556690058</v>
      </c>
      <c r="X31" s="24">
        <f t="shared" si="17"/>
        <v>13.279232368194513</v>
      </c>
      <c r="Y31" s="24">
        <f t="shared" si="17"/>
        <v>0.79266984687988307</v>
      </c>
      <c r="Z31" s="24">
        <f t="shared" si="17"/>
        <v>-14.832722659403643</v>
      </c>
      <c r="AA31" s="24">
        <f t="shared" si="17"/>
        <v>-40.92006515794985</v>
      </c>
      <c r="AB31" s="24">
        <f t="shared" si="17"/>
        <v>-29.861466988146137</v>
      </c>
      <c r="AC31" s="24">
        <f t="shared" si="17"/>
        <v>-29.091687681400764</v>
      </c>
      <c r="AD31" s="24">
        <f t="shared" si="17"/>
        <v>-31.640605756061994</v>
      </c>
      <c r="AE31" s="24">
        <f t="shared" si="17"/>
        <v>-24.717590376172673</v>
      </c>
      <c r="AF31" s="24">
        <f t="shared" si="17"/>
        <v>-23.761098651264248</v>
      </c>
      <c r="AG31" s="24">
        <f t="shared" si="17"/>
        <v>-31.231761048274802</v>
      </c>
      <c r="AH31" s="24">
        <f t="shared" si="17"/>
        <v>-42.721062253439811</v>
      </c>
      <c r="AI31" s="24">
        <f t="shared" si="17"/>
        <v>-40.094180039317891</v>
      </c>
      <c r="AJ31" s="24">
        <f t="shared" si="17"/>
        <v>-39.216703891458067</v>
      </c>
      <c r="AK31" s="24">
        <f t="shared" si="17"/>
        <v>-32.734385292835931</v>
      </c>
      <c r="AL31" s="24">
        <f t="shared" si="17"/>
        <v>-30.561053355278233</v>
      </c>
      <c r="AM31" s="24">
        <f t="shared" si="17"/>
        <v>-17.40479062553851</v>
      </c>
      <c r="AN31" s="24">
        <f t="shared" si="17"/>
        <v>-18.890139900344963</v>
      </c>
      <c r="AO31" s="24">
        <f t="shared" si="17"/>
        <v>-12.648629787690904</v>
      </c>
      <c r="AP31" s="24">
        <f t="shared" si="17"/>
        <v>-6.6705102334966808</v>
      </c>
      <c r="AQ31" s="24">
        <f t="shared" si="17"/>
        <v>-19.565129148795108</v>
      </c>
      <c r="AR31" s="24">
        <f t="shared" si="17"/>
        <v>-25.426825172946479</v>
      </c>
      <c r="AS31" s="24">
        <f t="shared" si="17"/>
        <v>-22.445187147235437</v>
      </c>
      <c r="AT31" s="24">
        <f t="shared" si="17"/>
        <v>-11.320495395751568</v>
      </c>
      <c r="AU31" s="24">
        <f t="shared" si="17"/>
        <v>-7.1234507601196597</v>
      </c>
      <c r="AV31" s="24">
        <f t="shared" si="17"/>
        <v>-7.4709927272172836</v>
      </c>
      <c r="AW31" s="24">
        <f t="shared" si="17"/>
        <v>-9.1543248007472915</v>
      </c>
      <c r="AX31" s="24">
        <f t="shared" si="17"/>
        <v>-6.7461746174617501</v>
      </c>
      <c r="AY31" s="24">
        <f t="shared" si="17"/>
        <v>-7.528836696372684</v>
      </c>
      <c r="AZ31" s="24">
        <f t="shared" si="17"/>
        <v>-5.8582039960423478</v>
      </c>
      <c r="BA31" s="24">
        <f t="shared" si="17"/>
        <v>13.629031019066208</v>
      </c>
      <c r="BB31" s="24">
        <f t="shared" si="17"/>
        <v>13.046701260192737</v>
      </c>
      <c r="BC31" s="24">
        <f t="shared" si="17"/>
        <v>33.211095597759339</v>
      </c>
      <c r="BD31" s="24">
        <f t="shared" si="17"/>
        <v>56.657540168600057</v>
      </c>
      <c r="BE31" s="24">
        <f t="shared" si="17"/>
        <v>45.697732637150402</v>
      </c>
      <c r="BF31" s="24">
        <f t="shared" si="17"/>
        <v>34.303426898570677</v>
      </c>
      <c r="BG31" s="24">
        <f t="shared" si="17"/>
        <v>19.722591990008052</v>
      </c>
      <c r="BH31" s="24">
        <f t="shared" si="17"/>
        <v>10.633249295565768</v>
      </c>
      <c r="BI31" s="24">
        <f t="shared" si="17"/>
        <v>16.456871817835054</v>
      </c>
      <c r="BJ31" s="24">
        <f t="shared" si="17"/>
        <v>6.510303556778152</v>
      </c>
      <c r="BK31" s="24">
        <f t="shared" si="17"/>
        <v>11.99033037872683</v>
      </c>
      <c r="BL31" s="24">
        <f t="shared" si="17"/>
        <v>11.811764705882347</v>
      </c>
      <c r="BM31" s="24">
        <f t="shared" si="17"/>
        <v>5.7328285559762007</v>
      </c>
      <c r="BN31" s="24">
        <f t="shared" si="17"/>
        <v>-6.7896174863388037</v>
      </c>
      <c r="BO31" s="24">
        <f t="shared" si="17"/>
        <v>-26.644778381108726</v>
      </c>
      <c r="BP31" s="24">
        <f t="shared" si="17"/>
        <v>-31.436127400252968</v>
      </c>
      <c r="BQ31" s="24">
        <f t="shared" si="17"/>
        <v>-39.126165930289638</v>
      </c>
      <c r="BR31" s="24">
        <f t="shared" si="17"/>
        <v>-36.00461597640723</v>
      </c>
      <c r="BS31" s="24">
        <f t="shared" si="17"/>
        <v>-31.516815374056282</v>
      </c>
      <c r="BT31" s="24">
        <f t="shared" si="17"/>
        <v>-14.313375037235632</v>
      </c>
      <c r="BU31" s="24">
        <f t="shared" si="17"/>
        <v>-14.938763884933079</v>
      </c>
      <c r="BV31" s="24">
        <f t="shared" si="17"/>
        <v>-13.502492070684182</v>
      </c>
      <c r="BW31" s="24">
        <f t="shared" si="17"/>
        <v>-18.103324219312125</v>
      </c>
      <c r="BX31" s="24">
        <f t="shared" si="17"/>
        <v>-24.999999999999993</v>
      </c>
      <c r="BY31" s="24">
        <f t="shared" si="17"/>
        <v>-29.83375959079283</v>
      </c>
      <c r="BZ31" s="24">
        <f t="shared" ref="BZ31:EK32" si="18">(BZ20-BN20)/BN20%</f>
        <v>-19.859299428403929</v>
      </c>
      <c r="CA31" s="24">
        <f t="shared" si="18"/>
        <v>-10.89688414529178</v>
      </c>
      <c r="CB31" s="24">
        <f t="shared" si="18"/>
        <v>-4.2260607076974566</v>
      </c>
      <c r="CC31" s="24">
        <f t="shared" si="18"/>
        <v>13.185483870967737</v>
      </c>
      <c r="CD31" s="24">
        <f t="shared" si="18"/>
        <v>13.945101182127834</v>
      </c>
      <c r="CE31" s="24">
        <f t="shared" si="18"/>
        <v>6.4942874323511681</v>
      </c>
      <c r="CF31" s="24">
        <f t="shared" si="18"/>
        <v>-3.6155049539370689</v>
      </c>
      <c r="CG31" s="24">
        <f t="shared" si="18"/>
        <v>-4.1520174116859128</v>
      </c>
      <c r="CH31" s="24">
        <f t="shared" si="18"/>
        <v>-3.0033176182992918</v>
      </c>
      <c r="CI31" s="24">
        <f t="shared" si="18"/>
        <v>-4.8497627833421229</v>
      </c>
      <c r="CJ31" s="24">
        <f t="shared" si="18"/>
        <v>-7.5009352787130608</v>
      </c>
      <c r="CK31" s="24">
        <f t="shared" si="18"/>
        <v>-13.158374339347557</v>
      </c>
      <c r="CL31" s="24">
        <f t="shared" si="18"/>
        <v>-12.4908558888076</v>
      </c>
      <c r="CM31" s="24">
        <f t="shared" si="18"/>
        <v>-0.77279752704791338</v>
      </c>
      <c r="CN31" s="24">
        <f t="shared" si="18"/>
        <v>-10.576081246716868</v>
      </c>
      <c r="CO31" s="24">
        <f t="shared" si="18"/>
        <v>-11.52475952974706</v>
      </c>
      <c r="CP31" s="24">
        <f t="shared" si="18"/>
        <v>-7.9831193951116735</v>
      </c>
      <c r="CQ31" s="24">
        <f t="shared" si="18"/>
        <v>-7.0205157161678819</v>
      </c>
      <c r="CR31" s="24">
        <f t="shared" si="18"/>
        <v>-21.677186654643823</v>
      </c>
      <c r="CS31" s="24">
        <f t="shared" si="18"/>
        <v>-21.816593886462879</v>
      </c>
      <c r="CT31" s="24">
        <f t="shared" si="18"/>
        <v>-20.882088208820882</v>
      </c>
      <c r="CU31" s="24">
        <f t="shared" si="18"/>
        <v>-18.337950138504159</v>
      </c>
      <c r="CV31" s="24">
        <f t="shared" si="18"/>
        <v>-14.337714863498478</v>
      </c>
      <c r="CW31" s="24">
        <f t="shared" si="18"/>
        <v>-12.612801678908715</v>
      </c>
      <c r="CX31" s="24">
        <f t="shared" si="18"/>
        <v>-12.058516196447227</v>
      </c>
      <c r="CY31" s="24">
        <f t="shared" si="18"/>
        <v>-16.666666666666671</v>
      </c>
      <c r="CZ31" s="24">
        <f t="shared" si="18"/>
        <v>-18.092813785000974</v>
      </c>
      <c r="DA31" s="24">
        <f t="shared" si="18"/>
        <v>-17.998792027380709</v>
      </c>
      <c r="DB31" s="24">
        <f t="shared" si="18"/>
        <v>-22.874068412000753</v>
      </c>
      <c r="DC31" s="24">
        <f t="shared" si="18"/>
        <v>2.3481781376518263</v>
      </c>
      <c r="DD31" s="24">
        <f t="shared" si="18"/>
        <v>23.762376237623759</v>
      </c>
      <c r="DE31" s="24">
        <f t="shared" si="18"/>
        <v>38.739946380697049</v>
      </c>
      <c r="DF31" s="24">
        <f t="shared" si="18"/>
        <v>27.91808873720138</v>
      </c>
      <c r="DG31" s="24">
        <f t="shared" si="18"/>
        <v>36.567164179104481</v>
      </c>
      <c r="DH31" s="24">
        <f t="shared" si="18"/>
        <v>45.797922568460805</v>
      </c>
      <c r="DI31" s="24">
        <f t="shared" si="18"/>
        <v>48.222862632084556</v>
      </c>
      <c r="DJ31" s="24">
        <f t="shared" si="18"/>
        <v>62.713878326996202</v>
      </c>
      <c r="DK31" s="24">
        <f t="shared" si="18"/>
        <v>66.214953271028023</v>
      </c>
      <c r="DL31" s="24">
        <f t="shared" si="18"/>
        <v>67.344011475017936</v>
      </c>
      <c r="DM31" s="24">
        <f t="shared" si="18"/>
        <v>84.655045421065552</v>
      </c>
      <c r="DN31" s="24">
        <f t="shared" si="18"/>
        <v>112.21506442021801</v>
      </c>
      <c r="DO31" s="24">
        <f t="shared" si="18"/>
        <v>62.242879746835428</v>
      </c>
      <c r="DP31" s="24">
        <f t="shared" si="18"/>
        <v>49.283720930232555</v>
      </c>
      <c r="DQ31" s="24">
        <f t="shared" si="18"/>
        <v>31.256038647343001</v>
      </c>
      <c r="DR31" s="24">
        <f t="shared" si="18"/>
        <v>41.141942369263596</v>
      </c>
      <c r="DS31" s="24">
        <f t="shared" si="18"/>
        <v>23.944361649279688</v>
      </c>
      <c r="DT31" s="24">
        <f t="shared" si="18"/>
        <v>19.656735751295333</v>
      </c>
      <c r="DU31" s="24">
        <f t="shared" si="18"/>
        <v>33.570965651328564</v>
      </c>
      <c r="DV31" s="24">
        <f t="shared" si="18"/>
        <v>25.412589455235867</v>
      </c>
      <c r="DW31" s="24">
        <f t="shared" si="18"/>
        <v>47.441664323868444</v>
      </c>
      <c r="DX31" s="24">
        <f t="shared" si="18"/>
        <v>49.399999999999991</v>
      </c>
      <c r="DY31" s="24">
        <f t="shared" si="18"/>
        <v>43.943624518016208</v>
      </c>
      <c r="DZ31" s="24">
        <f t="shared" si="18"/>
        <v>50.89316987740807</v>
      </c>
      <c r="EA31" s="24">
        <f t="shared" si="18"/>
        <v>72.668535901499467</v>
      </c>
      <c r="EB31" s="24">
        <f t="shared" si="18"/>
        <v>50.336490528414757</v>
      </c>
      <c r="EC31" s="24">
        <f t="shared" si="18"/>
        <v>30.30303030303029</v>
      </c>
      <c r="ED31" s="24">
        <f t="shared" si="18"/>
        <v>52.627599243856324</v>
      </c>
      <c r="EE31" s="24">
        <f t="shared" si="18"/>
        <v>63.647294589178365</v>
      </c>
      <c r="EF31" s="24">
        <f t="shared" si="18"/>
        <v>73.775372124492563</v>
      </c>
      <c r="EG31" s="24">
        <f t="shared" si="18"/>
        <v>47.05240174672489</v>
      </c>
      <c r="EH31" s="24">
        <f t="shared" si="18"/>
        <v>53.639222079888192</v>
      </c>
      <c r="EI31" s="24">
        <f t="shared" si="18"/>
        <v>29.516636476308502</v>
      </c>
      <c r="EJ31" s="24">
        <f t="shared" si="18"/>
        <v>39.07056798623065</v>
      </c>
      <c r="EK31" s="24">
        <f t="shared" si="18"/>
        <v>26.584149270275283</v>
      </c>
      <c r="EL31" s="24">
        <f t="shared" ref="EL31:GW32" si="19">(EL20-DZ20)/DZ20%</f>
        <v>12.256267409470741</v>
      </c>
      <c r="EM31" s="24">
        <f t="shared" si="19"/>
        <v>8.3309799491669008</v>
      </c>
      <c r="EN31" s="24">
        <f t="shared" si="19"/>
        <v>24.29743844814724</v>
      </c>
      <c r="EO31" s="24">
        <f t="shared" si="19"/>
        <v>41.879295734864911</v>
      </c>
      <c r="EP31" s="24">
        <f t="shared" si="19"/>
        <v>36.297580711749667</v>
      </c>
      <c r="EQ31" s="24">
        <f t="shared" si="19"/>
        <v>40.019593436198853</v>
      </c>
      <c r="ER31" s="24">
        <f t="shared" si="19"/>
        <v>36.419560816072263</v>
      </c>
      <c r="ES31" s="24">
        <f t="shared" si="19"/>
        <v>50.919739338447577</v>
      </c>
      <c r="ET31" s="24">
        <f t="shared" si="19"/>
        <v>46.752065489274614</v>
      </c>
      <c r="EU31" s="24">
        <f t="shared" si="19"/>
        <v>39.698196540301801</v>
      </c>
      <c r="EV31" s="24">
        <f t="shared" si="19"/>
        <v>40.759763476347629</v>
      </c>
      <c r="EW31" s="24">
        <f t="shared" si="19"/>
        <v>56.525102159953285</v>
      </c>
      <c r="EX31" s="24">
        <f t="shared" si="19"/>
        <v>67.797077474496845</v>
      </c>
      <c r="EY31" s="24">
        <f t="shared" si="19"/>
        <v>64.003519290928025</v>
      </c>
      <c r="EZ31" s="24">
        <f t="shared" si="19"/>
        <v>52.891823396025067</v>
      </c>
      <c r="FA31" s="24">
        <f t="shared" si="19"/>
        <v>27.560554781339167</v>
      </c>
      <c r="FB31" s="24">
        <f t="shared" si="19"/>
        <v>29.579572302659461</v>
      </c>
      <c r="FC31" s="24">
        <f t="shared" si="19"/>
        <v>29.012302489650757</v>
      </c>
      <c r="FD31" s="24">
        <f t="shared" si="19"/>
        <v>29.253952851190132</v>
      </c>
      <c r="FE31" s="24">
        <f t="shared" si="19"/>
        <v>23.712286838653267</v>
      </c>
      <c r="FF31" s="24">
        <f t="shared" si="19"/>
        <v>13.82779815092197</v>
      </c>
      <c r="FG31" s="24">
        <f t="shared" si="19"/>
        <v>11.411634524185898</v>
      </c>
      <c r="FH31" s="12">
        <f t="shared" si="19"/>
        <v>7.2679402699283395</v>
      </c>
      <c r="FI31" s="12">
        <f t="shared" si="19"/>
        <v>2.5631462643704963</v>
      </c>
      <c r="FJ31" s="12">
        <f t="shared" si="19"/>
        <v>-2.0949720670391061</v>
      </c>
      <c r="FK31" s="12">
        <f t="shared" si="19"/>
        <v>-2.4705241866582806</v>
      </c>
      <c r="FL31" s="12">
        <f t="shared" si="19"/>
        <v>21.168090173874351</v>
      </c>
      <c r="FM31" s="12">
        <f t="shared" si="19"/>
        <v>41.626565255617237</v>
      </c>
      <c r="FN31" s="12">
        <f t="shared" si="19"/>
        <v>36.712997377242331</v>
      </c>
      <c r="FO31" s="12">
        <f t="shared" si="19"/>
        <v>34.808310246803657</v>
      </c>
      <c r="FP31" s="12">
        <f t="shared" si="19"/>
        <v>23.203055997173635</v>
      </c>
      <c r="FQ31" s="12">
        <f t="shared" si="19"/>
        <v>24.204308486197995</v>
      </c>
      <c r="FR31" s="12">
        <f t="shared" si="19"/>
        <v>13.816010381973118</v>
      </c>
      <c r="FS31" s="12">
        <f>(FS20-FG20)/FG20%</f>
        <v>21.653258417400924</v>
      </c>
      <c r="FT31" s="12">
        <f t="shared" si="19"/>
        <v>11.206739526411653</v>
      </c>
      <c r="FU31" s="12">
        <f t="shared" si="19"/>
        <v>14.845000000000006</v>
      </c>
      <c r="FV31" s="12">
        <f t="shared" si="19"/>
        <v>7.267768733741705</v>
      </c>
      <c r="FW31" s="12">
        <f t="shared" si="19"/>
        <v>6.5570631137187716</v>
      </c>
      <c r="FX31" s="12">
        <f t="shared" si="19"/>
        <v>-7.8326547216612186</v>
      </c>
      <c r="FY31" s="12">
        <f t="shared" si="19"/>
        <v>-6.6622342379406225</v>
      </c>
      <c r="FZ31" s="12">
        <f t="shared" si="19"/>
        <v>-16.350175258613316</v>
      </c>
      <c r="GA31" s="12">
        <f t="shared" si="19"/>
        <v>-15.154095524809826</v>
      </c>
      <c r="GB31" s="12">
        <f t="shared" si="19"/>
        <v>-8.5790788620013601</v>
      </c>
      <c r="GC31" s="12">
        <f t="shared" si="19"/>
        <v>-6.3433512729031847</v>
      </c>
      <c r="GD31" s="12">
        <f t="shared" si="19"/>
        <v>1.1988199178726511</v>
      </c>
      <c r="GE31" s="12">
        <f t="shared" si="19"/>
        <v>-4.4459995334732794</v>
      </c>
      <c r="GF31" s="12">
        <f t="shared" si="19"/>
        <v>0.87260963924490997</v>
      </c>
      <c r="GG31" s="12">
        <f t="shared" si="19"/>
        <v>-4.6683474564531746</v>
      </c>
      <c r="GH31" s="12">
        <f t="shared" si="19"/>
        <v>-16.207336248640772</v>
      </c>
      <c r="GI31" s="12">
        <f t="shared" si="19"/>
        <v>-30.349147111343935</v>
      </c>
      <c r="GJ31" s="12">
        <f t="shared" si="19"/>
        <v>-35.943847259546274</v>
      </c>
      <c r="GK31" s="12">
        <f t="shared" si="19"/>
        <v>-40.849039154030514</v>
      </c>
      <c r="GL31" s="12">
        <f>(GL20-FZ20)/FZ20%</f>
        <v>-25.546066644045904</v>
      </c>
      <c r="GM31" s="12">
        <f t="shared" si="19"/>
        <v>-33.060698734817414</v>
      </c>
      <c r="GN31" s="12">
        <f t="shared" si="19"/>
        <v>-35.772622300987656</v>
      </c>
      <c r="GO31" s="12">
        <f t="shared" si="19"/>
        <v>-30.175543874574625</v>
      </c>
      <c r="GP31" s="12">
        <f t="shared" si="19"/>
        <v>-12.701458022274132</v>
      </c>
      <c r="GQ31" s="12">
        <f t="shared" si="19"/>
        <v>-1.0452267031214422</v>
      </c>
      <c r="GR31" s="12">
        <f t="shared" si="19"/>
        <v>2.528608717184714</v>
      </c>
      <c r="GS31" s="12">
        <f t="shared" si="19"/>
        <v>8.2623389132456584</v>
      </c>
      <c r="GT31" s="12">
        <f t="shared" si="19"/>
        <v>37.174759366276717</v>
      </c>
      <c r="GU31" s="12">
        <f t="shared" si="19"/>
        <v>63.430193299039814</v>
      </c>
      <c r="GV31" s="12">
        <f t="shared" si="19"/>
        <v>77.652231179189471</v>
      </c>
      <c r="GW31" s="12">
        <f t="shared" si="19"/>
        <v>125.24983034157896</v>
      </c>
      <c r="GX31" s="12">
        <f t="shared" ref="GX31:IU32" si="20">(GX20-GL20)/GL20%</f>
        <v>99.666161516329538</v>
      </c>
      <c r="GY31" s="12">
        <f t="shared" si="20"/>
        <v>124.76890929911342</v>
      </c>
      <c r="GZ31" s="12">
        <f t="shared" si="20"/>
        <v>127.37317624076674</v>
      </c>
      <c r="HA31" s="12">
        <f t="shared" si="20"/>
        <v>127.84845929995379</v>
      </c>
      <c r="HB31" s="12">
        <f t="shared" si="20"/>
        <v>91.211032690120746</v>
      </c>
      <c r="HC31" s="12">
        <f t="shared" si="20"/>
        <v>89.645375490820882</v>
      </c>
      <c r="HD31" s="12">
        <f t="shared" si="20"/>
        <v>104.34651779704639</v>
      </c>
      <c r="HE31" s="12">
        <f t="shared" si="20"/>
        <v>116.97735508983185</v>
      </c>
      <c r="HF31" s="12">
        <f t="shared" si="20"/>
        <v>138.11082677701251</v>
      </c>
      <c r="HG31" s="12">
        <f t="shared" si="20"/>
        <v>124.32673929182079</v>
      </c>
      <c r="HH31" s="12">
        <f t="shared" si="20"/>
        <v>120.8715619947896</v>
      </c>
      <c r="HI31" s="12">
        <f t="shared" si="20"/>
        <v>96.00655728020557</v>
      </c>
      <c r="HJ31" s="12">
        <f t="shared" si="20"/>
        <v>97.306951930480679</v>
      </c>
      <c r="HK31" s="12">
        <f t="shared" si="20"/>
        <v>104.78373906877806</v>
      </c>
      <c r="HL31" s="12">
        <f t="shared" si="20"/>
        <v>94.010632014176011</v>
      </c>
      <c r="HM31" s="12">
        <f t="shared" si="20"/>
        <v>75.630956246061004</v>
      </c>
      <c r="HN31" s="12">
        <f t="shared" si="20"/>
        <v>75.071746169604168</v>
      </c>
      <c r="HO31" s="12">
        <f t="shared" si="20"/>
        <v>47.989142453267874</v>
      </c>
      <c r="HP31" s="12">
        <f t="shared" si="20"/>
        <v>32.632072510549911</v>
      </c>
      <c r="HQ31" s="12">
        <f t="shared" si="20"/>
        <v>21.584974222385604</v>
      </c>
      <c r="HR31" s="12">
        <f t="shared" si="20"/>
        <v>-3.0536413032604388</v>
      </c>
      <c r="HS31" s="12">
        <f t="shared" si="20"/>
        <v>-5.3728258997761351</v>
      </c>
      <c r="HT31" s="12">
        <f t="shared" si="20"/>
        <v>-5.3995042619486195</v>
      </c>
      <c r="HU31" s="12">
        <f t="shared" si="20"/>
        <v>-8.4612486625777912</v>
      </c>
      <c r="HV31" s="12">
        <f t="shared" si="20"/>
        <v>-20.640792097975293</v>
      </c>
      <c r="HW31" s="12">
        <f t="shared" si="20"/>
        <v>-30.006181103775855</v>
      </c>
      <c r="HX31" s="12">
        <f t="shared" si="20"/>
        <v>-24.99155840201934</v>
      </c>
      <c r="HY31" s="12">
        <f t="shared" si="20"/>
        <v>-26.3392402035077</v>
      </c>
      <c r="HZ31" s="12">
        <f t="shared" si="20"/>
        <v>-34.859741145607956</v>
      </c>
      <c r="IA31" s="12">
        <f t="shared" si="20"/>
        <v>-27.251484777188185</v>
      </c>
      <c r="IB31" s="12">
        <f t="shared" si="20"/>
        <v>-27.763542710558077</v>
      </c>
      <c r="IC31" s="12">
        <f t="shared" si="20"/>
        <v>-24.699351241189138</v>
      </c>
      <c r="ID31" s="12">
        <f t="shared" si="20"/>
        <v>-11.963647352787264</v>
      </c>
      <c r="IE31" s="12">
        <f t="shared" si="20"/>
        <v>-12.748506547454202</v>
      </c>
      <c r="IF31" s="12">
        <f t="shared" si="20"/>
        <v>-12.093011794854942</v>
      </c>
      <c r="IG31" s="12">
        <f t="shared" si="20"/>
        <v>-7.1022418601282107</v>
      </c>
      <c r="IH31" s="12">
        <f t="shared" si="20"/>
        <v>2.1596720712619821</v>
      </c>
      <c r="II31" s="12">
        <f t="shared" si="20"/>
        <v>3.2577330164947718</v>
      </c>
      <c r="IJ31" s="12">
        <f t="shared" si="20"/>
        <v>5.8204494299103446</v>
      </c>
      <c r="IK31" s="12">
        <f t="shared" si="20"/>
        <v>9.8536684381458475</v>
      </c>
      <c r="IL31" s="12">
        <f>(IL20-HZ20)/HZ20%</f>
        <v>33.751228749107561</v>
      </c>
      <c r="IM31" s="12">
        <f t="shared" si="20"/>
        <v>23.264065794428653</v>
      </c>
      <c r="IN31" s="12">
        <f t="shared" si="20"/>
        <v>22.090817535784645</v>
      </c>
      <c r="IO31" s="12">
        <f t="shared" si="20"/>
        <v>12.622993542658039</v>
      </c>
      <c r="IP31" s="12">
        <f t="shared" si="20"/>
        <v>-2.8243516817677206</v>
      </c>
      <c r="IQ31" s="12">
        <f t="shared" si="20"/>
        <v>7.9979831835230364</v>
      </c>
      <c r="IR31" s="12">
        <f t="shared" si="20"/>
        <v>7.9203924316748449</v>
      </c>
      <c r="IS31" s="12">
        <f t="shared" si="20"/>
        <v>4.7807903597377237</v>
      </c>
      <c r="IT31" s="12">
        <f t="shared" si="20"/>
        <v>7.4127239813714816</v>
      </c>
      <c r="IU31" s="12">
        <f t="shared" si="20"/>
        <v>5.4012668784045283</v>
      </c>
      <c r="IV31" s="12">
        <f t="shared" ref="IV31:JQ31" si="21">(IV20-IJ20)/IJ20%</f>
        <v>4.0558399352823047</v>
      </c>
      <c r="IW31" s="12">
        <f t="shared" si="21"/>
        <v>4.5434464547578779</v>
      </c>
      <c r="IX31" s="12">
        <f t="shared" si="21"/>
        <v>-3.0883203931264811</v>
      </c>
      <c r="IY31" s="12">
        <f t="shared" si="21"/>
        <v>4.2086191657912613</v>
      </c>
      <c r="IZ31" s="19">
        <f t="shared" si="21"/>
        <v>12.864861641616496</v>
      </c>
      <c r="JA31" s="19">
        <f t="shared" si="21"/>
        <v>20.569793830690227</v>
      </c>
      <c r="JB31" s="43">
        <f t="shared" si="21"/>
        <v>24.96536465333638</v>
      </c>
      <c r="JC31" s="43">
        <f t="shared" si="21"/>
        <v>23.044123722420583</v>
      </c>
      <c r="JD31" s="43">
        <f t="shared" si="21"/>
        <v>23.875125755615919</v>
      </c>
      <c r="JE31" s="19">
        <f t="shared" si="21"/>
        <v>23.443625502724608</v>
      </c>
      <c r="JF31" s="19">
        <f t="shared" si="21"/>
        <v>14.916102226604016</v>
      </c>
      <c r="JG31" s="19">
        <f t="shared" si="21"/>
        <v>22.910925524088803</v>
      </c>
      <c r="JH31" s="19">
        <f t="shared" si="21"/>
        <v>14.275900548061339</v>
      </c>
      <c r="JI31" s="19">
        <f t="shared" si="21"/>
        <v>15.349946253577068</v>
      </c>
      <c r="JJ31" s="19">
        <f t="shared" si="21"/>
        <v>15.276380786338541</v>
      </c>
      <c r="JK31" s="19">
        <f t="shared" si="21"/>
        <v>10.067694893252776</v>
      </c>
      <c r="JL31" s="19">
        <f t="shared" si="21"/>
        <v>7.6043088392844123</v>
      </c>
      <c r="JM31" s="19">
        <f t="shared" si="21"/>
        <v>3.8789665756337981</v>
      </c>
      <c r="JN31" s="19">
        <f t="shared" si="21"/>
        <v>-2.775318733504875</v>
      </c>
      <c r="JO31" s="19">
        <f t="shared" si="21"/>
        <v>-3.8864116853036994</v>
      </c>
      <c r="JP31" s="19">
        <f t="shared" si="21"/>
        <v>-3.4212108080906916</v>
      </c>
      <c r="JQ31" s="19">
        <f t="shared" si="21"/>
        <v>-5.5412079819700075</v>
      </c>
      <c r="JR31" s="19">
        <f t="shared" ref="JR31:KE31" si="22">(JR20-JF20)/JF20%</f>
        <v>-11.699082875467441</v>
      </c>
      <c r="JS31" s="19">
        <f t="shared" si="22"/>
        <v>-15.195670901991285</v>
      </c>
      <c r="JT31" s="19">
        <f t="shared" si="22"/>
        <v>-10.973939715615352</v>
      </c>
      <c r="JU31" s="19">
        <f t="shared" si="22"/>
        <v>-9.2316478618191908</v>
      </c>
      <c r="JV31" s="19">
        <f t="shared" si="22"/>
        <v>-9.2763587058137524</v>
      </c>
      <c r="JW31" s="53">
        <f t="shared" si="22"/>
        <v>-10.504928213309022</v>
      </c>
      <c r="JX31" s="60">
        <f t="shared" si="22"/>
        <v>-12.795602866865343</v>
      </c>
      <c r="JY31" s="60">
        <f t="shared" si="22"/>
        <v>-10.657402414690685</v>
      </c>
      <c r="JZ31" s="60">
        <f t="shared" si="22"/>
        <v>-7.3196640981892935</v>
      </c>
      <c r="KA31" s="60">
        <f t="shared" si="22"/>
        <v>-8.9864329471773985</v>
      </c>
      <c r="KB31" s="60">
        <f t="shared" si="22"/>
        <v>-9.6690620409167458</v>
      </c>
      <c r="KC31" s="60">
        <f t="shared" si="22"/>
        <v>-9.6633548480672982</v>
      </c>
      <c r="KD31" s="60">
        <f t="shared" si="22"/>
        <v>-3.2707943943659732</v>
      </c>
      <c r="KE31" s="60">
        <f t="shared" si="22"/>
        <v>-0.9291305773271572</v>
      </c>
      <c r="KF31" s="60">
        <f t="shared" ref="KF31:KL31" si="23">(KF20-JT20)/JT20%</f>
        <v>-0.16370547507527339</v>
      </c>
      <c r="KG31" s="60">
        <f t="shared" si="23"/>
        <v>1.4456145089361048</v>
      </c>
      <c r="KH31" s="60">
        <f t="shared" si="23"/>
        <v>1.8900818409558873</v>
      </c>
      <c r="KI31" s="60">
        <f t="shared" si="23"/>
        <v>7.3815067631981321</v>
      </c>
      <c r="KJ31" s="60">
        <f t="shared" si="23"/>
        <v>3.8086479706343801</v>
      </c>
      <c r="KK31" s="60">
        <f t="shared" si="23"/>
        <v>-2.1057839744738645</v>
      </c>
      <c r="KL31" s="83">
        <f t="shared" si="23"/>
        <v>-1.4771751721942876</v>
      </c>
      <c r="KM31" s="93">
        <f t="shared" ref="KM31:LH31" si="24">(KM20-KA20)/KA20%</f>
        <v>3.2473479653562149</v>
      </c>
      <c r="KN31" s="93">
        <f t="shared" si="24"/>
        <v>2.7357356876191661</v>
      </c>
      <c r="KO31" s="93">
        <f t="shared" si="24"/>
        <v>2.2638746616229892</v>
      </c>
      <c r="KP31" s="93">
        <f t="shared" si="24"/>
        <v>5.604890520946789</v>
      </c>
      <c r="KQ31" s="93">
        <f t="shared" si="24"/>
        <v>6.8060147238143678</v>
      </c>
      <c r="KR31" s="93">
        <f t="shared" si="24"/>
        <v>6.8433537778335012</v>
      </c>
      <c r="KS31" s="93">
        <f t="shared" si="24"/>
        <v>-1.2011266992009577</v>
      </c>
      <c r="KT31" s="93">
        <f t="shared" si="24"/>
        <v>-4.1334547938966084</v>
      </c>
      <c r="KU31" s="93">
        <f t="shared" si="24"/>
        <v>-8.1878504298903021</v>
      </c>
      <c r="KV31" s="93">
        <f t="shared" si="24"/>
        <v>-7.3842278365441816</v>
      </c>
      <c r="KW31" s="93">
        <f t="shared" si="24"/>
        <v>-4.8582793228953074</v>
      </c>
      <c r="KX31" s="93">
        <f t="shared" si="24"/>
        <v>-8.9474763289346075</v>
      </c>
      <c r="KY31" s="93">
        <f t="shared" si="24"/>
        <v>-10.032550745312323</v>
      </c>
      <c r="KZ31" s="93">
        <f t="shared" si="24"/>
        <v>-6.1216437091380973</v>
      </c>
      <c r="LA31" s="93">
        <f t="shared" si="24"/>
        <v>-4.9753032534391801</v>
      </c>
      <c r="LB31" s="93">
        <f t="shared" si="24"/>
        <v>-7.5120321289109278</v>
      </c>
      <c r="LC31" s="93">
        <f t="shared" si="24"/>
        <v>-11.225804285247671</v>
      </c>
      <c r="LD31" s="93">
        <f t="shared" si="24"/>
        <v>-14.197487022872478</v>
      </c>
      <c r="LE31" s="93">
        <f t="shared" si="24"/>
        <v>-16.117598062182868</v>
      </c>
      <c r="LF31" s="93">
        <f t="shared" si="24"/>
        <v>-16.996174067428935</v>
      </c>
      <c r="LG31" s="93">
        <f t="shared" si="24"/>
        <v>-13.275207720235112</v>
      </c>
      <c r="LH31" s="93">
        <f t="shared" si="24"/>
        <v>-3.4475466345223209</v>
      </c>
      <c r="LI31" s="93">
        <f t="shared" ref="LI31:LO31" si="25">(LI20-KW20)/KW20%</f>
        <v>-3.1314450368898785</v>
      </c>
      <c r="LJ31" s="93">
        <f t="shared" si="25"/>
        <v>-2.1142305422215029</v>
      </c>
      <c r="LK31" s="93">
        <f t="shared" si="25"/>
        <v>0.61762299969596768</v>
      </c>
      <c r="LL31" s="93">
        <f t="shared" si="25"/>
        <v>3.200356185821351</v>
      </c>
      <c r="LM31" s="93">
        <f t="shared" si="25"/>
        <v>1.2695853029474429</v>
      </c>
      <c r="LN31" s="93">
        <f t="shared" si="25"/>
        <v>-1.0040234394564087</v>
      </c>
      <c r="LO31" s="93">
        <f t="shared" si="25"/>
        <v>-3.8404206117645421</v>
      </c>
      <c r="LP31" s="93">
        <f>(LP20-LD20)/LD20%</f>
        <v>-17.735602565302194</v>
      </c>
      <c r="LQ31" s="218"/>
      <c r="LR31" s="93">
        <f t="shared" ref="LR31:MB31" si="26">(LR20-LF20)/LF20%</f>
        <v>-8.7402442124290314</v>
      </c>
      <c r="LS31" s="93">
        <f t="shared" si="26"/>
        <v>-4.1455396963672788</v>
      </c>
      <c r="LT31" s="93">
        <f t="shared" si="26"/>
        <v>-13.665266016774101</v>
      </c>
      <c r="LU31" s="93">
        <f t="shared" si="26"/>
        <v>-9.5168645774262846</v>
      </c>
      <c r="LV31" s="128">
        <f t="shared" si="26"/>
        <v>4.2974849431184543</v>
      </c>
      <c r="LW31" s="93">
        <f t="shared" si="26"/>
        <v>-4.4013261572157312</v>
      </c>
      <c r="LX31" s="93">
        <f t="shared" si="26"/>
        <v>0.51175392025396071</v>
      </c>
      <c r="LY31" s="93">
        <f t="shared" si="26"/>
        <v>10.523542185697671</v>
      </c>
      <c r="LZ31" s="93">
        <f t="shared" si="26"/>
        <v>46.17910337011952</v>
      </c>
      <c r="MA31" s="93">
        <f t="shared" si="26"/>
        <v>33.675074916143984</v>
      </c>
      <c r="MB31" s="128">
        <f t="shared" si="26"/>
        <v>55.771136334305254</v>
      </c>
      <c r="MC31" s="134" t="s">
        <v>31</v>
      </c>
      <c r="MD31" s="93">
        <f t="shared" ref="MD31:MX31" si="27">(MD20-LR20)/LR20%</f>
        <v>52.750290915993347</v>
      </c>
      <c r="ME31" s="93">
        <f t="shared" si="27"/>
        <v>52.202222709857338</v>
      </c>
      <c r="MF31" s="93">
        <f t="shared" si="27"/>
        <v>58.471271949510744</v>
      </c>
      <c r="MG31" s="93">
        <f t="shared" si="27"/>
        <v>68.831729316818439</v>
      </c>
      <c r="MH31" s="93">
        <f t="shared" si="27"/>
        <v>58.065044345379334</v>
      </c>
      <c r="MI31" s="93">
        <f t="shared" si="27"/>
        <v>77.469139575209681</v>
      </c>
      <c r="MJ31" s="93">
        <f t="shared" si="27"/>
        <v>83.23141824797878</v>
      </c>
      <c r="MK31" s="93">
        <f t="shared" si="27"/>
        <v>80.478490512560853</v>
      </c>
      <c r="ML31" s="93">
        <f t="shared" si="27"/>
        <v>50.085313108915827</v>
      </c>
      <c r="MM31" s="93">
        <f t="shared" si="27"/>
        <v>54.861068383727869</v>
      </c>
      <c r="MN31" s="145">
        <f t="shared" si="27"/>
        <v>25.031876291902595</v>
      </c>
      <c r="MO31" s="93">
        <f t="shared" si="27"/>
        <v>5.7720374018479017</v>
      </c>
      <c r="MP31" s="93">
        <f t="shared" si="27"/>
        <v>9.5178727726570429</v>
      </c>
      <c r="MQ31" s="93">
        <f t="shared" si="27"/>
        <v>-6.3210662230024939</v>
      </c>
      <c r="MR31" s="166">
        <f t="shared" si="27"/>
        <v>-4.7944210194471255</v>
      </c>
      <c r="MS31" s="167">
        <f t="shared" si="27"/>
        <v>0.81932959900417157</v>
      </c>
      <c r="MT31" s="167">
        <f t="shared" si="27"/>
        <v>4.9802641454385457</v>
      </c>
      <c r="MU31" s="167">
        <f t="shared" si="27"/>
        <v>-15.357480569087857</v>
      </c>
      <c r="MV31" s="167">
        <f t="shared" si="27"/>
        <v>-24.380863473982419</v>
      </c>
      <c r="MW31" s="168">
        <f t="shared" si="27"/>
        <v>-30.560665335624623</v>
      </c>
      <c r="MX31" s="168">
        <f t="shared" si="27"/>
        <v>-31.857104423690387</v>
      </c>
      <c r="MY31" s="93">
        <f t="shared" ref="MY31:NG31" si="28">(MY20-MM20)/MM20%</f>
        <v>-20.63804096410934</v>
      </c>
      <c r="MZ31" s="93">
        <f t="shared" si="28"/>
        <v>4.4612061946097521</v>
      </c>
      <c r="NA31" s="93">
        <f t="shared" si="28"/>
        <v>17.824024888972819</v>
      </c>
      <c r="NB31" s="93">
        <f t="shared" si="28"/>
        <v>5.5139989812643906</v>
      </c>
      <c r="NC31" s="128">
        <f t="shared" si="28"/>
        <v>28.609719258055698</v>
      </c>
      <c r="ND31" s="93">
        <f t="shared" si="28"/>
        <v>47.283651203249192</v>
      </c>
      <c r="NE31" s="93">
        <f t="shared" si="28"/>
        <v>22.519875828435115</v>
      </c>
      <c r="NF31" s="93">
        <f t="shared" si="28"/>
        <v>14.142886919536373</v>
      </c>
      <c r="NG31" s="93">
        <f t="shared" si="28"/>
        <v>23.775075097417396</v>
      </c>
      <c r="NH31" s="93">
        <f t="shared" ref="NH31" si="29">(NH20-MV20)/MV20%</f>
        <v>22.455419633971125</v>
      </c>
      <c r="NI31" s="128">
        <f t="shared" ref="NI31:NJ31" si="30">(NI20-MW20)/MW20%</f>
        <v>25.495720676681991</v>
      </c>
      <c r="NJ31" s="93">
        <f t="shared" si="30"/>
        <v>16.312372744654574</v>
      </c>
      <c r="NK31" s="93">
        <f t="shared" ref="NK31" si="31">(NK20-MY20)/MY20%</f>
        <v>15.925267291216837</v>
      </c>
      <c r="NL31" s="93">
        <f t="shared" ref="NL31:NQ31" si="32">(NL20-MZ20)/MZ20%</f>
        <v>23.043428243356413</v>
      </c>
      <c r="NM31" s="166">
        <f t="shared" si="32"/>
        <v>37.622854191319156</v>
      </c>
      <c r="NN31" s="167">
        <f t="shared" si="32"/>
        <v>41.510805746700534</v>
      </c>
      <c r="NO31" s="191">
        <f t="shared" si="32"/>
        <v>28.609597636331866</v>
      </c>
      <c r="NP31" s="167">
        <f t="shared" si="32"/>
        <v>0.17423805977489695</v>
      </c>
      <c r="NQ31" s="167">
        <f t="shared" si="32"/>
        <v>-2.2052928828693492</v>
      </c>
      <c r="NR31" s="191">
        <f t="shared" ref="NR31:OG31" si="33">(NR20-NF20)/NF20%</f>
        <v>4.5823735996562922</v>
      </c>
      <c r="NS31" s="167">
        <f t="shared" si="33"/>
        <v>19.941619166495265</v>
      </c>
      <c r="NT31" s="167">
        <f t="shared" si="33"/>
        <v>24.49607793163991</v>
      </c>
      <c r="NU31" s="168">
        <f t="shared" si="33"/>
        <v>49.656190633517802</v>
      </c>
      <c r="NV31" s="93">
        <f t="shared" si="33"/>
        <v>66.060332746589864</v>
      </c>
      <c r="NW31" s="93">
        <f t="shared" si="33"/>
        <v>54.703584474692917</v>
      </c>
      <c r="NX31" s="93">
        <f t="shared" si="33"/>
        <v>38.18852572179533</v>
      </c>
      <c r="NY31" s="93">
        <f t="shared" si="33"/>
        <v>27.800727172721718</v>
      </c>
      <c r="NZ31" s="93">
        <f t="shared" si="33"/>
        <v>39.221690184355673</v>
      </c>
      <c r="OA31" s="93">
        <f t="shared" si="33"/>
        <v>48.434769863658893</v>
      </c>
      <c r="OB31" s="93">
        <f t="shared" si="33"/>
        <v>72.203363678444688</v>
      </c>
      <c r="OC31" s="93">
        <f t="shared" si="33"/>
        <v>93.184513486434454</v>
      </c>
      <c r="OD31" s="93">
        <f t="shared" si="33"/>
        <v>83.707365215667579</v>
      </c>
      <c r="OE31" s="93">
        <f t="shared" si="33"/>
        <v>78.573251958799062</v>
      </c>
      <c r="OF31" s="93">
        <f t="shared" si="33"/>
        <v>72.210457358751498</v>
      </c>
      <c r="OG31" s="93">
        <f t="shared" si="33"/>
        <v>41.893153862026104</v>
      </c>
    </row>
    <row r="32" spans="1:397" s="7" customFormat="1" ht="12.75" hidden="1" customHeight="1" thickBot="1" x14ac:dyDescent="0.3">
      <c r="A32" s="36" t="s">
        <v>25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>
        <f t="shared" si="17"/>
        <v>127.54381821998322</v>
      </c>
      <c r="O32" s="24">
        <f t="shared" si="17"/>
        <v>176.77532783417936</v>
      </c>
      <c r="P32" s="24">
        <f t="shared" si="17"/>
        <v>124.62709479339901</v>
      </c>
      <c r="Q32" s="24">
        <f t="shared" si="17"/>
        <v>106.01133414543722</v>
      </c>
      <c r="R32" s="24">
        <f t="shared" si="17"/>
        <v>94.030986395896463</v>
      </c>
      <c r="S32" s="24">
        <f t="shared" si="17"/>
        <v>74.069387072897001</v>
      </c>
      <c r="T32" s="24">
        <f t="shared" si="17"/>
        <v>51.513447661887348</v>
      </c>
      <c r="U32" s="24">
        <f t="shared" si="17"/>
        <v>54.437310988536254</v>
      </c>
      <c r="V32" s="24">
        <f t="shared" si="17"/>
        <v>68.360649176522401</v>
      </c>
      <c r="W32" s="24">
        <f t="shared" si="17"/>
        <v>41.603205349324718</v>
      </c>
      <c r="X32" s="24">
        <f t="shared" si="17"/>
        <v>14.70579745702781</v>
      </c>
      <c r="Y32" s="24">
        <f t="shared" si="17"/>
        <v>-0.25096364493497947</v>
      </c>
      <c r="Z32" s="24">
        <f t="shared" si="17"/>
        <v>-20.01060867258985</v>
      </c>
      <c r="AA32" s="24">
        <f t="shared" si="17"/>
        <v>-44.574567164179101</v>
      </c>
      <c r="AB32" s="24">
        <f t="shared" si="17"/>
        <v>-31.470861262820993</v>
      </c>
      <c r="AC32" s="24">
        <f t="shared" si="17"/>
        <v>-33.107309046970208</v>
      </c>
      <c r="AD32" s="24">
        <f t="shared" si="17"/>
        <v>-33.174221116399828</v>
      </c>
      <c r="AE32" s="24">
        <f t="shared" si="17"/>
        <v>-25.129626073358747</v>
      </c>
      <c r="AF32" s="24">
        <f t="shared" si="17"/>
        <v>-24.558112045741925</v>
      </c>
      <c r="AG32" s="24">
        <f t="shared" si="17"/>
        <v>-31.000631046170472</v>
      </c>
      <c r="AH32" s="24">
        <f t="shared" si="17"/>
        <v>-42.708735729185868</v>
      </c>
      <c r="AI32" s="24">
        <f t="shared" si="17"/>
        <v>-38.54326724881011</v>
      </c>
      <c r="AJ32" s="24">
        <f t="shared" si="17"/>
        <v>-39.31943859031059</v>
      </c>
      <c r="AK32" s="24">
        <f t="shared" si="17"/>
        <v>-31.156781251303151</v>
      </c>
      <c r="AL32" s="24">
        <f t="shared" si="17"/>
        <v>-25.643668550340212</v>
      </c>
      <c r="AM32" s="24">
        <f t="shared" si="17"/>
        <v>-8.9756736494696181</v>
      </c>
      <c r="AN32" s="24">
        <f t="shared" si="17"/>
        <v>-11.716016654062546</v>
      </c>
      <c r="AO32" s="24">
        <f t="shared" si="17"/>
        <v>-4.4822583279687134</v>
      </c>
      <c r="AP32" s="24">
        <f t="shared" si="17"/>
        <v>-1.0127683684412867</v>
      </c>
      <c r="AQ32" s="24">
        <f t="shared" si="17"/>
        <v>-19.277417463632702</v>
      </c>
      <c r="AR32" s="24">
        <f t="shared" si="17"/>
        <v>-26.238647439809792</v>
      </c>
      <c r="AS32" s="24">
        <f t="shared" si="17"/>
        <v>-23.078228566579597</v>
      </c>
      <c r="AT32" s="24">
        <f t="shared" si="17"/>
        <v>-11.865145228215766</v>
      </c>
      <c r="AU32" s="24">
        <f t="shared" si="17"/>
        <v>-8.0291896616560461</v>
      </c>
      <c r="AV32" s="24">
        <f t="shared" si="17"/>
        <v>-5.7725802438417464</v>
      </c>
      <c r="AW32" s="24">
        <f t="shared" si="17"/>
        <v>-9.3697313559407522</v>
      </c>
      <c r="AX32" s="24">
        <f t="shared" si="17"/>
        <v>-7.9702207272268941</v>
      </c>
      <c r="AY32" s="24">
        <f t="shared" si="17"/>
        <v>-9.5814675616059617</v>
      </c>
      <c r="AZ32" s="24">
        <f t="shared" si="17"/>
        <v>-7.9852776444231015</v>
      </c>
      <c r="BA32" s="24">
        <f t="shared" si="17"/>
        <v>17.983744417172986</v>
      </c>
      <c r="BB32" s="24">
        <f t="shared" si="17"/>
        <v>16.724756482721261</v>
      </c>
      <c r="BC32" s="24">
        <f t="shared" si="17"/>
        <v>43.781207444393999</v>
      </c>
      <c r="BD32" s="24">
        <f t="shared" si="17"/>
        <v>74.280315660775813</v>
      </c>
      <c r="BE32" s="24">
        <f t="shared" si="17"/>
        <v>56.145812904491081</v>
      </c>
      <c r="BF32" s="24">
        <f t="shared" si="17"/>
        <v>44.441044231538811</v>
      </c>
      <c r="BG32" s="24">
        <f t="shared" si="17"/>
        <v>23.680808036158304</v>
      </c>
      <c r="BH32" s="24">
        <f t="shared" si="17"/>
        <v>12.677141096734434</v>
      </c>
      <c r="BI32" s="24">
        <f t="shared" si="17"/>
        <v>18.968052399411839</v>
      </c>
      <c r="BJ32" s="24">
        <f t="shared" si="17"/>
        <v>7.0604716812201742</v>
      </c>
      <c r="BK32" s="24">
        <f t="shared" si="17"/>
        <v>12.647890273269821</v>
      </c>
      <c r="BL32" s="24">
        <f t="shared" si="17"/>
        <v>13.708439897698209</v>
      </c>
      <c r="BM32" s="24">
        <f t="shared" si="17"/>
        <v>5.4309830335066769</v>
      </c>
      <c r="BN32" s="24">
        <f t="shared" si="17"/>
        <v>-10.323992994746067</v>
      </c>
      <c r="BO32" s="24">
        <f t="shared" si="17"/>
        <v>-33.543804262036303</v>
      </c>
      <c r="BP32" s="24">
        <f t="shared" si="17"/>
        <v>-36.685090702947846</v>
      </c>
      <c r="BQ32" s="24">
        <f t="shared" si="17"/>
        <v>-44.972132820472567</v>
      </c>
      <c r="BR32" s="24">
        <f t="shared" si="17"/>
        <v>-42.095827900912646</v>
      </c>
      <c r="BS32" s="24">
        <f t="shared" si="17"/>
        <v>-35.391350964974983</v>
      </c>
      <c r="BT32" s="24">
        <f t="shared" si="17"/>
        <v>-13.934186114637237</v>
      </c>
      <c r="BU32" s="24">
        <f t="shared" si="17"/>
        <v>-13.576779026217229</v>
      </c>
      <c r="BV32" s="24">
        <f t="shared" si="17"/>
        <v>-7.4872097599370351</v>
      </c>
      <c r="BW32" s="24">
        <f t="shared" si="17"/>
        <v>-13.71874709545498</v>
      </c>
      <c r="BX32" s="24">
        <f t="shared" si="17"/>
        <v>-23.022941970310388</v>
      </c>
      <c r="BY32" s="24">
        <f t="shared" si="17"/>
        <v>-28.020378457059671</v>
      </c>
      <c r="BZ32" s="24">
        <f t="shared" si="18"/>
        <v>-13.162777072551505</v>
      </c>
      <c r="CA32" s="24">
        <f t="shared" si="18"/>
        <v>-1.4726840855106862</v>
      </c>
      <c r="CB32" s="24">
        <f t="shared" si="18"/>
        <v>7.7336317851147198</v>
      </c>
      <c r="CC32" s="24">
        <f t="shared" si="18"/>
        <v>31.041369472182602</v>
      </c>
      <c r="CD32" s="24">
        <f t="shared" si="18"/>
        <v>30.101322825781029</v>
      </c>
      <c r="CE32" s="24">
        <f t="shared" si="18"/>
        <v>17.480293182132481</v>
      </c>
      <c r="CF32" s="24">
        <f t="shared" si="18"/>
        <v>3.0406171999092431</v>
      </c>
      <c r="CG32" s="24">
        <f t="shared" si="18"/>
        <v>1.5709642470205849</v>
      </c>
      <c r="CH32" s="24">
        <f t="shared" si="18"/>
        <v>-3.2968201637775181</v>
      </c>
      <c r="CI32" s="24">
        <f t="shared" si="18"/>
        <v>-4.448992782505651</v>
      </c>
      <c r="CJ32" s="24">
        <f t="shared" si="18"/>
        <v>-6.9541841982234684</v>
      </c>
      <c r="CK32" s="24">
        <f t="shared" si="18"/>
        <v>-14.043365913942255</v>
      </c>
      <c r="CL32" s="24">
        <f t="shared" si="18"/>
        <v>-13.010232767345096</v>
      </c>
      <c r="CM32" s="24">
        <f t="shared" si="18"/>
        <v>2.8447444551591157</v>
      </c>
      <c r="CN32" s="24">
        <f t="shared" si="18"/>
        <v>-13.266154165800961</v>
      </c>
      <c r="CO32" s="24">
        <f t="shared" si="18"/>
        <v>-12.627912040060963</v>
      </c>
      <c r="CP32" s="24">
        <f t="shared" si="18"/>
        <v>-7.0524607896160143</v>
      </c>
      <c r="CQ32" s="24">
        <f t="shared" si="18"/>
        <v>-6.2154208357857517</v>
      </c>
      <c r="CR32" s="24">
        <f t="shared" si="18"/>
        <v>-26.976436908170005</v>
      </c>
      <c r="CS32" s="24">
        <f t="shared" si="18"/>
        <v>-25.493333333333332</v>
      </c>
      <c r="CT32" s="24">
        <f t="shared" si="18"/>
        <v>-24.931265808863955</v>
      </c>
      <c r="CU32" s="24">
        <f t="shared" si="18"/>
        <v>-22.480270574971815</v>
      </c>
      <c r="CV32" s="24">
        <f t="shared" si="18"/>
        <v>-18.967466398693631</v>
      </c>
      <c r="CW32" s="24">
        <f t="shared" si="18"/>
        <v>-17.775454188994903</v>
      </c>
      <c r="CX32" s="24">
        <f t="shared" si="18"/>
        <v>-17.657704239917273</v>
      </c>
      <c r="CY32" s="24">
        <f t="shared" si="18"/>
        <v>-24.859353023909989</v>
      </c>
      <c r="CZ32" s="24">
        <f t="shared" si="18"/>
        <v>-25.40424002874596</v>
      </c>
      <c r="DA32" s="24">
        <f t="shared" si="18"/>
        <v>-22.975330176924992</v>
      </c>
      <c r="DB32" s="24">
        <f t="shared" si="18"/>
        <v>-29.302920982194806</v>
      </c>
      <c r="DC32" s="24">
        <f t="shared" si="18"/>
        <v>4.9202962219153923</v>
      </c>
      <c r="DD32" s="24">
        <f t="shared" si="18"/>
        <v>32.463811821471644</v>
      </c>
      <c r="DE32" s="24">
        <f t="shared" si="18"/>
        <v>47.602004294917677</v>
      </c>
      <c r="DF32" s="24">
        <f t="shared" si="18"/>
        <v>33.284500439496036</v>
      </c>
      <c r="DG32" s="24">
        <f t="shared" si="18"/>
        <v>43.746364165212327</v>
      </c>
      <c r="DH32" s="24">
        <f t="shared" si="18"/>
        <v>56.053325065881261</v>
      </c>
      <c r="DI32" s="24">
        <f t="shared" si="18"/>
        <v>63.121920203465265</v>
      </c>
      <c r="DJ32" s="24">
        <f t="shared" si="18"/>
        <v>84.897959183673464</v>
      </c>
      <c r="DK32" s="24">
        <f t="shared" si="18"/>
        <v>90.609889252846656</v>
      </c>
      <c r="DL32" s="24">
        <f t="shared" si="18"/>
        <v>94.942196531791907</v>
      </c>
      <c r="DM32" s="24">
        <f t="shared" si="18"/>
        <v>114.67162730507923</v>
      </c>
      <c r="DN32" s="24">
        <f t="shared" si="18"/>
        <v>140.97119341563788</v>
      </c>
      <c r="DO32" s="24">
        <f t="shared" si="18"/>
        <v>65.605933724129684</v>
      </c>
      <c r="DP32" s="24">
        <f t="shared" si="18"/>
        <v>52.43027888446214</v>
      </c>
      <c r="DQ32" s="24">
        <f t="shared" si="18"/>
        <v>33.326867119301639</v>
      </c>
      <c r="DR32" s="24">
        <f t="shared" si="18"/>
        <v>47.867663222686311</v>
      </c>
      <c r="DS32" s="24">
        <f t="shared" si="18"/>
        <v>25.98138405503845</v>
      </c>
      <c r="DT32" s="24">
        <f t="shared" si="18"/>
        <v>25.121684712426728</v>
      </c>
      <c r="DU32" s="24">
        <f t="shared" si="18"/>
        <v>39.115182225686986</v>
      </c>
      <c r="DV32" s="24">
        <f t="shared" si="18"/>
        <v>29.419256240448298</v>
      </c>
      <c r="DW32" s="24">
        <f t="shared" si="18"/>
        <v>68.780687397708675</v>
      </c>
      <c r="DX32" s="24">
        <f t="shared" si="18"/>
        <v>66.93023638909483</v>
      </c>
      <c r="DY32" s="24">
        <f t="shared" si="18"/>
        <v>57.749981161932041</v>
      </c>
      <c r="DZ32" s="24">
        <f t="shared" si="18"/>
        <v>63.590409180954985</v>
      </c>
      <c r="EA32" s="24">
        <f t="shared" si="18"/>
        <v>86.679188037275154</v>
      </c>
      <c r="EB32" s="24">
        <f t="shared" si="18"/>
        <v>63.385856172055881</v>
      </c>
      <c r="EC32" s="24">
        <f t="shared" si="18"/>
        <v>38.061981667394157</v>
      </c>
      <c r="ED32" s="24">
        <f t="shared" si="18"/>
        <v>61.280011893257999</v>
      </c>
      <c r="EE32" s="24">
        <f t="shared" si="18"/>
        <v>67.83649212977835</v>
      </c>
      <c r="EF32" s="24">
        <f t="shared" si="18"/>
        <v>60.447761194029866</v>
      </c>
      <c r="EG32" s="24">
        <f t="shared" si="18"/>
        <v>28.663491173998324</v>
      </c>
      <c r="EH32" s="24">
        <f t="shared" si="18"/>
        <v>30.479564390211909</v>
      </c>
      <c r="EI32" s="24">
        <f t="shared" si="18"/>
        <v>0.31999999999999557</v>
      </c>
      <c r="EJ32" s="24">
        <f t="shared" si="18"/>
        <v>8.1758523708491655</v>
      </c>
      <c r="EK32" s="24">
        <f t="shared" si="18"/>
        <v>-1.8581323143061903</v>
      </c>
      <c r="EL32" s="24">
        <f t="shared" si="19"/>
        <v>-10.702355102722573</v>
      </c>
      <c r="EM32" s="24">
        <f t="shared" si="19"/>
        <v>-15.076232489745372</v>
      </c>
      <c r="EN32" s="24">
        <f t="shared" si="19"/>
        <v>-2.6737967914438503</v>
      </c>
      <c r="EO32" s="24">
        <f t="shared" si="19"/>
        <v>9.2686268310675448</v>
      </c>
      <c r="EP32" s="24">
        <f t="shared" si="19"/>
        <v>4.466055215006687</v>
      </c>
      <c r="EQ32" s="24">
        <f t="shared" si="19"/>
        <v>11.483803052777644</v>
      </c>
      <c r="ER32" s="24">
        <f t="shared" si="19"/>
        <v>18.367144977733787</v>
      </c>
      <c r="ES32" s="24">
        <f t="shared" si="19"/>
        <v>40.200348432055748</v>
      </c>
      <c r="ET32" s="24">
        <f t="shared" si="19"/>
        <v>35.456785157624807</v>
      </c>
      <c r="EU32" s="24">
        <f t="shared" si="19"/>
        <v>29.602242520902809</v>
      </c>
      <c r="EV32" s="24">
        <f t="shared" si="19"/>
        <v>24.719485495347556</v>
      </c>
      <c r="EW32" s="24">
        <f t="shared" si="19"/>
        <v>36.483987150783605</v>
      </c>
      <c r="EX32" s="24">
        <f t="shared" si="19"/>
        <v>50.053776011222823</v>
      </c>
      <c r="EY32" s="24">
        <f t="shared" si="19"/>
        <v>51.30638840791034</v>
      </c>
      <c r="EZ32" s="24">
        <f t="shared" si="19"/>
        <v>38.271344040574803</v>
      </c>
      <c r="FA32" s="24">
        <f t="shared" si="19"/>
        <v>18.197424892703872</v>
      </c>
      <c r="FB32" s="24">
        <f t="shared" si="19"/>
        <v>22.345363098914675</v>
      </c>
      <c r="FC32" s="24">
        <f t="shared" si="19"/>
        <v>20.198291772179061</v>
      </c>
      <c r="FD32" s="24">
        <f t="shared" si="19"/>
        <v>20.295125825599868</v>
      </c>
      <c r="FE32" s="24">
        <f t="shared" si="19"/>
        <v>11.114476545511039</v>
      </c>
      <c r="FF32" s="24">
        <f t="shared" si="19"/>
        <v>4.5718421736386947</v>
      </c>
      <c r="FG32" s="24">
        <f t="shared" si="19"/>
        <v>1.7676014319809104</v>
      </c>
      <c r="FH32" s="12">
        <f t="shared" si="19"/>
        <v>2.9129409183169708</v>
      </c>
      <c r="FI32" s="12">
        <f t="shared" si="19"/>
        <v>-0.22038371014905631</v>
      </c>
      <c r="FJ32" s="12">
        <f t="shared" si="19"/>
        <v>-6.3168063822493776</v>
      </c>
      <c r="FK32" s="12">
        <f t="shared" si="19"/>
        <v>-5.5854868290685111</v>
      </c>
      <c r="FL32" s="12">
        <f t="shared" si="19"/>
        <v>28.582539439944306</v>
      </c>
      <c r="FM32" s="12">
        <f t="shared" si="19"/>
        <v>51.436521341786829</v>
      </c>
      <c r="FN32" s="12">
        <f t="shared" si="19"/>
        <v>45.699006159216466</v>
      </c>
      <c r="FO32" s="12">
        <f t="shared" si="19"/>
        <v>49.554008212819149</v>
      </c>
      <c r="FP32" s="12">
        <f t="shared" si="19"/>
        <v>33.355109983667518</v>
      </c>
      <c r="FQ32" s="12">
        <f t="shared" si="19"/>
        <v>35.226565830951067</v>
      </c>
      <c r="FR32" s="12">
        <f t="shared" si="19"/>
        <v>25.997863179602945</v>
      </c>
      <c r="FS32" s="12">
        <f t="shared" si="19"/>
        <v>31.330157566874313</v>
      </c>
      <c r="FT32" s="12">
        <f t="shared" si="19"/>
        <v>19.328358208955226</v>
      </c>
      <c r="FU32" s="12">
        <f t="shared" si="19"/>
        <v>23.406909171485545</v>
      </c>
      <c r="FV32" s="12">
        <f t="shared" si="19"/>
        <v>15.09047967533764</v>
      </c>
      <c r="FW32" s="12">
        <f t="shared" si="19"/>
        <v>12.58301170616568</v>
      </c>
      <c r="FX32" s="12">
        <f t="shared" si="19"/>
        <v>-10.907520496999416</v>
      </c>
      <c r="FY32" s="12">
        <f t="shared" si="19"/>
        <v>-11.313378953607421</v>
      </c>
      <c r="FZ32" s="12">
        <f t="shared" si="19"/>
        <v>-22.950486962763119</v>
      </c>
      <c r="GA32" s="12">
        <f t="shared" si="19"/>
        <v>-24.259477682856367</v>
      </c>
      <c r="GB32" s="12">
        <f t="shared" si="19"/>
        <v>-17.100970408280254</v>
      </c>
      <c r="GC32" s="12">
        <f t="shared" si="19"/>
        <v>-16.336382901741867</v>
      </c>
      <c r="GD32" s="12">
        <f t="shared" si="19"/>
        <v>-13.601712820801749</v>
      </c>
      <c r="GE32" s="12">
        <f t="shared" si="19"/>
        <v>-16.607700892857135</v>
      </c>
      <c r="GF32" s="12">
        <f t="shared" si="19"/>
        <v>-11.985764912594188</v>
      </c>
      <c r="GG32" s="12">
        <f t="shared" si="19"/>
        <v>-19.229065002389255</v>
      </c>
      <c r="GH32" s="12">
        <f t="shared" si="19"/>
        <v>-30.714048296891477</v>
      </c>
      <c r="GI32" s="12">
        <f t="shared" si="19"/>
        <v>-42.44175669128709</v>
      </c>
      <c r="GJ32" s="12">
        <f t="shared" si="19"/>
        <v>-45.373661787682657</v>
      </c>
      <c r="GK32" s="12">
        <f t="shared" si="19"/>
        <v>-50.443365017452081</v>
      </c>
      <c r="GL32" s="12">
        <f t="shared" si="19"/>
        <v>-36.879671835198053</v>
      </c>
      <c r="GM32" s="12">
        <f t="shared" si="19"/>
        <v>-44.079048991081926</v>
      </c>
      <c r="GN32" s="12">
        <f t="shared" si="19"/>
        <v>-45.424826328859275</v>
      </c>
      <c r="GO32" s="12">
        <f t="shared" si="19"/>
        <v>-39.359894726437012</v>
      </c>
      <c r="GP32" s="12">
        <f t="shared" si="19"/>
        <v>-17.838650354757934</v>
      </c>
      <c r="GQ32" s="12">
        <f t="shared" si="19"/>
        <v>-8.9380951424996251</v>
      </c>
      <c r="GR32" s="12">
        <f t="shared" si="19"/>
        <v>-3.9611833134264631</v>
      </c>
      <c r="GS32" s="12">
        <f t="shared" si="19"/>
        <v>6.6942036156587648</v>
      </c>
      <c r="GT32" s="12">
        <f t="shared" si="19"/>
        <v>37.553969439218406</v>
      </c>
      <c r="GU32" s="12">
        <f t="shared" si="19"/>
        <v>64.101655369984798</v>
      </c>
      <c r="GV32" s="12">
        <f t="shared" si="19"/>
        <v>80.517006507356726</v>
      </c>
      <c r="GW32" s="12">
        <f t="shared" si="19"/>
        <v>135.96429928770215</v>
      </c>
      <c r="GX32" s="12">
        <f t="shared" si="20"/>
        <v>112.8164154342538</v>
      </c>
      <c r="GY32" s="12">
        <f t="shared" si="20"/>
        <v>145.48319268516792</v>
      </c>
      <c r="GZ32" s="12">
        <f t="shared" si="20"/>
        <v>145.97972583803707</v>
      </c>
      <c r="HA32" s="12">
        <f t="shared" si="20"/>
        <v>140.05165326093046</v>
      </c>
      <c r="HB32" s="12">
        <f t="shared" si="20"/>
        <v>88.801447739692577</v>
      </c>
      <c r="HC32" s="12">
        <f t="shared" si="20"/>
        <v>93.940050851692376</v>
      </c>
      <c r="HD32" s="12">
        <f t="shared" si="20"/>
        <v>106.27157936273056</v>
      </c>
      <c r="HE32" s="12">
        <f t="shared" si="20"/>
        <v>97.909721475427475</v>
      </c>
      <c r="HF32" s="12">
        <f>(HF21-GT21)/GT21%</f>
        <v>129.04807683559622</v>
      </c>
      <c r="HG32" s="12">
        <f t="shared" si="20"/>
        <v>117.22008254745279</v>
      </c>
      <c r="HH32" s="12">
        <f t="shared" si="20"/>
        <v>110.11340677313837</v>
      </c>
      <c r="HI32" s="12">
        <f t="shared" si="20"/>
        <v>83.445126228119847</v>
      </c>
      <c r="HJ32" s="12">
        <f t="shared" si="20"/>
        <v>70.602850447175854</v>
      </c>
      <c r="HK32" s="12">
        <f t="shared" si="20"/>
        <v>63.981904608813473</v>
      </c>
      <c r="HL32" s="12">
        <f t="shared" si="20"/>
        <v>60.974547498068233</v>
      </c>
      <c r="HM32" s="12">
        <f t="shared" si="20"/>
        <v>44.782415866124268</v>
      </c>
      <c r="HN32" s="12">
        <f t="shared" si="20"/>
        <v>44.062092739731789</v>
      </c>
      <c r="HO32" s="12">
        <f t="shared" si="20"/>
        <v>19.374804626445766</v>
      </c>
      <c r="HP32" s="12">
        <f t="shared" si="20"/>
        <v>6.0692807354053935</v>
      </c>
      <c r="HQ32" s="12">
        <f t="shared" si="20"/>
        <v>5.8524475476978015</v>
      </c>
      <c r="HR32" s="12">
        <f t="shared" si="20"/>
        <v>-19.960941120394033</v>
      </c>
      <c r="HS32" s="12">
        <f t="shared" si="20"/>
        <v>-22.238900158386699</v>
      </c>
      <c r="HT32" s="12">
        <f t="shared" si="20"/>
        <v>-24.539603407864874</v>
      </c>
      <c r="HU32" s="12">
        <f t="shared" si="20"/>
        <v>-25.948311265311908</v>
      </c>
      <c r="HV32" s="12">
        <f t="shared" si="20"/>
        <v>-30.954253203200892</v>
      </c>
      <c r="HW32" s="12">
        <f t="shared" si="20"/>
        <v>-33.46711628193566</v>
      </c>
      <c r="HX32" s="12">
        <f t="shared" si="20"/>
        <v>-28.847054579518641</v>
      </c>
      <c r="HY32" s="12">
        <f t="shared" si="20"/>
        <v>-28.896328030990357</v>
      </c>
      <c r="HZ32" s="12">
        <f t="shared" si="20"/>
        <v>-37.039166220429813</v>
      </c>
      <c r="IA32" s="12">
        <f t="shared" si="20"/>
        <v>-30.43665946148402</v>
      </c>
      <c r="IB32" s="12">
        <f t="shared" si="20"/>
        <v>-29.839438202789974</v>
      </c>
      <c r="IC32" s="12">
        <f t="shared" si="20"/>
        <v>-22.808326194853233</v>
      </c>
      <c r="ID32" s="12">
        <f t="shared" si="20"/>
        <v>-6.6030229392020967</v>
      </c>
      <c r="IE32" s="12">
        <f t="shared" si="20"/>
        <v>-10.539522097995471</v>
      </c>
      <c r="IF32" s="12">
        <f t="shared" si="20"/>
        <v>-7.6750518623022694</v>
      </c>
      <c r="IG32" s="12">
        <f t="shared" si="20"/>
        <v>-2.1049269863610927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9">
        <v>0</v>
      </c>
      <c r="JA32" s="19">
        <v>0</v>
      </c>
      <c r="JB32" s="44">
        <v>0</v>
      </c>
      <c r="JC32" s="44">
        <v>0</v>
      </c>
      <c r="JD32" s="44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0</v>
      </c>
      <c r="JR32" s="12"/>
      <c r="JS32" s="12"/>
      <c r="JT32" s="12"/>
      <c r="JU32" s="12"/>
      <c r="JV32" s="12"/>
      <c r="JW32" s="56"/>
      <c r="JX32" s="63"/>
      <c r="JY32" s="63"/>
      <c r="JZ32" s="63"/>
      <c r="KA32" s="63"/>
      <c r="KB32" s="63"/>
      <c r="KC32" s="63"/>
      <c r="KD32" s="63"/>
      <c r="KE32" s="63"/>
      <c r="KF32" s="63"/>
      <c r="KG32" s="63"/>
      <c r="KH32" s="63"/>
      <c r="KI32" s="63"/>
      <c r="KJ32" s="63"/>
      <c r="KK32" s="63"/>
      <c r="KL32" s="84"/>
      <c r="KM32" s="94"/>
      <c r="KN32" s="94"/>
      <c r="KO32" s="94"/>
      <c r="KP32" s="94"/>
      <c r="KQ32" s="94"/>
      <c r="KR32" s="94"/>
      <c r="KS32" s="94"/>
      <c r="KT32" s="94"/>
      <c r="KU32" s="94"/>
      <c r="KV32" s="94"/>
      <c r="KW32" s="94"/>
      <c r="KX32" s="94"/>
      <c r="KY32" s="94"/>
      <c r="KZ32" s="94"/>
      <c r="LA32" s="94"/>
      <c r="LB32" s="94"/>
      <c r="LC32" s="94"/>
      <c r="LD32" s="94"/>
      <c r="LE32" s="94"/>
      <c r="LF32" s="94"/>
      <c r="LG32" s="94"/>
      <c r="LH32" s="94"/>
      <c r="LI32" s="94"/>
      <c r="LJ32" s="94"/>
      <c r="LK32" s="94"/>
      <c r="LL32" s="94"/>
      <c r="LM32" s="94"/>
      <c r="LN32" s="94"/>
      <c r="LO32" s="94"/>
      <c r="LP32" s="94"/>
      <c r="LQ32" s="218"/>
      <c r="LR32" s="94"/>
      <c r="LS32" s="94"/>
      <c r="LT32" s="115"/>
      <c r="LV32" s="129"/>
      <c r="LW32" s="94"/>
      <c r="LX32" s="94"/>
      <c r="LY32" s="94"/>
      <c r="LZ32" s="94"/>
      <c r="MA32" s="94"/>
      <c r="MB32" s="137"/>
      <c r="MC32" s="135"/>
      <c r="MD32" s="94"/>
      <c r="ME32" s="94"/>
      <c r="MF32" s="94"/>
      <c r="MG32" s="94"/>
      <c r="MH32" s="94"/>
      <c r="MI32" s="94"/>
      <c r="MJ32" s="94"/>
      <c r="MK32" s="94"/>
      <c r="ML32" s="94"/>
      <c r="MM32" s="94"/>
      <c r="MN32" s="146"/>
      <c r="MO32" s="94"/>
      <c r="MP32" s="94"/>
      <c r="MQ32" s="94"/>
      <c r="MR32" s="169"/>
      <c r="MS32" s="170"/>
      <c r="MT32" s="170"/>
      <c r="MU32" s="170"/>
      <c r="MV32" s="170"/>
      <c r="MW32" s="171"/>
      <c r="MX32" s="94"/>
      <c r="MY32" s="94"/>
      <c r="MZ32" s="94"/>
      <c r="ND32" s="94"/>
      <c r="NE32" s="94"/>
      <c r="NF32" s="94"/>
      <c r="NG32" s="94"/>
      <c r="NH32" s="94"/>
      <c r="NI32" s="137"/>
      <c r="NJ32" s="94"/>
      <c r="NK32" s="94"/>
      <c r="NL32" s="94"/>
      <c r="NM32" s="169"/>
      <c r="NN32" s="170"/>
      <c r="NO32" s="192"/>
      <c r="NP32" s="170"/>
      <c r="NQ32" s="170"/>
      <c r="NR32" s="192"/>
      <c r="NS32" s="170"/>
      <c r="NT32" s="170"/>
      <c r="NU32" s="171"/>
      <c r="NV32" s="94"/>
    </row>
    <row r="33" spans="1:397" ht="15.75" customHeight="1" thickBot="1" x14ac:dyDescent="0.3">
      <c r="A33" s="36" t="s">
        <v>27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37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7"/>
      <c r="FI33" s="47"/>
      <c r="FJ33" s="47"/>
      <c r="FK33" s="46"/>
      <c r="FL33" s="46"/>
      <c r="FM33" s="38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38">
        <f>(IM22-IA22)/IA22%</f>
        <v>21.807372175980969</v>
      </c>
      <c r="IN33" s="38">
        <f>(IN22-IB22)/IB22%</f>
        <v>23.0901774400247</v>
      </c>
      <c r="IO33" s="38">
        <f t="shared" ref="IO33:JK33" si="34">(IO22-IC22)/IC22%</f>
        <v>13.324044088009222</v>
      </c>
      <c r="IP33" s="38">
        <f t="shared" si="34"/>
        <v>-0.82104795463101066</v>
      </c>
      <c r="IQ33" s="38">
        <f t="shared" si="34"/>
        <v>9.8398621174344463</v>
      </c>
      <c r="IR33" s="38">
        <f t="shared" si="34"/>
        <v>7.9064724237088839</v>
      </c>
      <c r="IS33" s="38">
        <f t="shared" si="34"/>
        <v>5.7867391818703338</v>
      </c>
      <c r="IT33" s="38">
        <f t="shared" si="34"/>
        <v>7.6819874844024083</v>
      </c>
      <c r="IU33" s="38">
        <f t="shared" si="34"/>
        <v>0.91629387770434989</v>
      </c>
      <c r="IV33" s="38">
        <f t="shared" si="34"/>
        <v>-0.4144439012985936</v>
      </c>
      <c r="IW33" s="38">
        <f t="shared" si="34"/>
        <v>1.556841038805157</v>
      </c>
      <c r="IX33" s="38">
        <f t="shared" si="34"/>
        <v>-5.2576296101274718</v>
      </c>
      <c r="IY33" s="38">
        <f t="shared" si="34"/>
        <v>2.9923595610390081</v>
      </c>
      <c r="IZ33" s="38">
        <f t="shared" si="34"/>
        <v>10.019072838411653</v>
      </c>
      <c r="JA33" s="38">
        <f t="shared" si="34"/>
        <v>18.740207216074431</v>
      </c>
      <c r="JB33" s="38">
        <f t="shared" si="34"/>
        <v>25.632705631274572</v>
      </c>
      <c r="JC33" s="38">
        <f t="shared" si="34"/>
        <v>24.536649126922946</v>
      </c>
      <c r="JD33" s="38">
        <f t="shared" si="34"/>
        <v>25.089222996065676</v>
      </c>
      <c r="JE33" s="38">
        <f t="shared" si="34"/>
        <v>25.285014415402575</v>
      </c>
      <c r="JF33" s="38">
        <f t="shared" si="34"/>
        <v>15.072678428809985</v>
      </c>
      <c r="JG33" s="38">
        <f t="shared" si="34"/>
        <v>27.677236433122612</v>
      </c>
      <c r="JH33" s="38">
        <f t="shared" si="34"/>
        <v>17.454998902412246</v>
      </c>
      <c r="JI33" s="38">
        <f t="shared" si="34"/>
        <v>18.584689557923923</v>
      </c>
      <c r="JJ33" s="38">
        <f t="shared" si="34"/>
        <v>15.806415195926593</v>
      </c>
      <c r="JK33" s="38">
        <f t="shared" si="34"/>
        <v>10.570304122588377</v>
      </c>
      <c r="JL33" s="41">
        <f t="shared" ref="JL33:JS33" si="35">(JL22-IZ22)/IZ22%</f>
        <v>8.8922229497072234</v>
      </c>
      <c r="JM33" s="41">
        <f t="shared" si="35"/>
        <v>3.970293169029905</v>
      </c>
      <c r="JN33" s="41">
        <f t="shared" si="35"/>
        <v>-5.2534482331674237</v>
      </c>
      <c r="JO33" s="41">
        <f t="shared" si="35"/>
        <v>-6.9575131257676084</v>
      </c>
      <c r="JP33" s="41">
        <f t="shared" si="35"/>
        <v>-7.8927355506758765</v>
      </c>
      <c r="JQ33" s="41">
        <f t="shared" si="35"/>
        <v>-11.333678964280994</v>
      </c>
      <c r="JR33" s="41">
        <f t="shared" si="35"/>
        <v>-16.66304918429978</v>
      </c>
      <c r="JS33" s="41">
        <f t="shared" si="35"/>
        <v>-21.050662312798238</v>
      </c>
      <c r="JT33" s="41">
        <f t="shared" ref="JT33:KD33" si="36">(JT22-JH22)/JH22%</f>
        <v>-16.820292646459503</v>
      </c>
      <c r="JU33" s="41">
        <f t="shared" si="36"/>
        <v>-15.243804660227697</v>
      </c>
      <c r="JV33" s="41">
        <f t="shared" si="36"/>
        <v>-14.374878145106051</v>
      </c>
      <c r="JW33" s="57">
        <f t="shared" si="36"/>
        <v>-15.553360644621469</v>
      </c>
      <c r="JX33" s="64">
        <f t="shared" si="36"/>
        <v>-16.883764973940909</v>
      </c>
      <c r="JY33" s="64">
        <f t="shared" si="36"/>
        <v>-10.956073378271656</v>
      </c>
      <c r="JZ33" s="64">
        <f t="shared" si="36"/>
        <v>-5.4579668857729029</v>
      </c>
      <c r="KA33" s="64">
        <f t="shared" si="36"/>
        <v>-6.3917959505653412</v>
      </c>
      <c r="KB33" s="64">
        <f t="shared" si="36"/>
        <v>-5.2106657480541037</v>
      </c>
      <c r="KC33" s="64">
        <f t="shared" si="36"/>
        <v>-3.5648386927729616</v>
      </c>
      <c r="KD33" s="64">
        <f t="shared" si="36"/>
        <v>5.6813880030647974</v>
      </c>
      <c r="KE33" s="64">
        <f t="shared" ref="KE33:KL33" si="37">(KE22-JS22)/JS22%</f>
        <v>9.0587359130440177</v>
      </c>
      <c r="KF33" s="64">
        <f t="shared" si="37"/>
        <v>7.3160989127585481</v>
      </c>
      <c r="KG33" s="64">
        <f t="shared" si="37"/>
        <v>10.212047561525802</v>
      </c>
      <c r="KH33" s="64">
        <f t="shared" si="37"/>
        <v>11.482176688843021</v>
      </c>
      <c r="KI33" s="64">
        <f t="shared" si="37"/>
        <v>19.190049087934078</v>
      </c>
      <c r="KJ33" s="64">
        <f t="shared" si="37"/>
        <v>11.616130553334573</v>
      </c>
      <c r="KK33" s="64">
        <f t="shared" si="37"/>
        <v>2.8121635417305928</v>
      </c>
      <c r="KL33" s="85">
        <f t="shared" si="37"/>
        <v>1.9531034025189817</v>
      </c>
      <c r="KM33" s="95">
        <f t="shared" ref="KM33:LH33" si="38">(KM22-KA22)/KA22%</f>
        <v>9.542630171464527</v>
      </c>
      <c r="KN33" s="95">
        <f t="shared" si="38"/>
        <v>7.4373395633238193</v>
      </c>
      <c r="KO33" s="95">
        <f t="shared" si="38"/>
        <v>5.0130990378785212</v>
      </c>
      <c r="KP33" s="95">
        <f t="shared" si="38"/>
        <v>7.3844928229802189</v>
      </c>
      <c r="KQ33" s="95">
        <f t="shared" si="38"/>
        <v>4.6932406273456246</v>
      </c>
      <c r="KR33" s="95">
        <f t="shared" si="38"/>
        <v>6.1421160377797355</v>
      </c>
      <c r="KS33" s="95">
        <f t="shared" si="38"/>
        <v>-3.3353669326191957</v>
      </c>
      <c r="KT33" s="95">
        <f t="shared" si="38"/>
        <v>-6.5950928277776359</v>
      </c>
      <c r="KU33" s="95">
        <f t="shared" si="38"/>
        <v>-13.845903531451555</v>
      </c>
      <c r="KV33" s="95">
        <f t="shared" si="38"/>
        <v>-12.531848512599025</v>
      </c>
      <c r="KW33" s="95">
        <f t="shared" si="38"/>
        <v>-12.391615752748267</v>
      </c>
      <c r="KX33" s="95">
        <f t="shared" si="38"/>
        <v>-18.600205533125266</v>
      </c>
      <c r="KY33" s="95">
        <f t="shared" si="38"/>
        <v>-20.913522564961298</v>
      </c>
      <c r="KZ33" s="95">
        <f t="shared" si="38"/>
        <v>-14.669956187448987</v>
      </c>
      <c r="LA33" s="95">
        <f t="shared" si="38"/>
        <v>-14.61277003693092</v>
      </c>
      <c r="LB33" s="95">
        <f t="shared" si="38"/>
        <v>-17.975342246417426</v>
      </c>
      <c r="LC33" s="95">
        <f t="shared" si="38"/>
        <v>-19.708959769712195</v>
      </c>
      <c r="LD33" s="95">
        <f t="shared" si="38"/>
        <v>-24.962329799183589</v>
      </c>
      <c r="LE33" s="95">
        <f t="shared" si="38"/>
        <v>-28.213436791344495</v>
      </c>
      <c r="LF33" s="95">
        <f t="shared" si="38"/>
        <v>-30.759957836189102</v>
      </c>
      <c r="LG33" s="95">
        <f t="shared" si="38"/>
        <v>-26.330823162814855</v>
      </c>
      <c r="LH33" s="95">
        <f t="shared" si="38"/>
        <v>-10.498827030497214</v>
      </c>
      <c r="LI33" s="95">
        <f t="shared" ref="LI33:LO33" si="39">(LI22-KW22)/KW22%</f>
        <v>-9.9333892809696493</v>
      </c>
      <c r="LJ33" s="95">
        <f t="shared" si="39"/>
        <v>-8.0706195869420458</v>
      </c>
      <c r="LK33" s="95">
        <f t="shared" si="39"/>
        <v>-3.371183626883862</v>
      </c>
      <c r="LL33" s="95">
        <f t="shared" si="39"/>
        <v>-3.3462219719302477</v>
      </c>
      <c r="LM33" s="95">
        <f t="shared" si="39"/>
        <v>-6.32244400640473</v>
      </c>
      <c r="LN33" s="95">
        <f t="shared" si="39"/>
        <v>-7.7648834795735464</v>
      </c>
      <c r="LO33" s="95">
        <f t="shared" si="39"/>
        <v>-11.645870469399885</v>
      </c>
      <c r="LP33" s="95">
        <f>(LP22-LD22)/LD22%</f>
        <v>-28.899030650431726</v>
      </c>
      <c r="LQ33" s="219"/>
      <c r="LR33" s="95">
        <f t="shared" ref="LR33:MB33" si="40">(LR22-LF22)/LF22%</f>
        <v>-18.371379290798529</v>
      </c>
      <c r="LS33" s="95">
        <f t="shared" si="40"/>
        <v>-9.1241548370557872</v>
      </c>
      <c r="LT33" s="95">
        <f t="shared" si="40"/>
        <v>-26.9419631634517</v>
      </c>
      <c r="LU33" s="95">
        <f t="shared" si="40"/>
        <v>-18.865439892175875</v>
      </c>
      <c r="LV33" s="130">
        <f t="shared" si="40"/>
        <v>-10.742031800327563</v>
      </c>
      <c r="LW33" s="95">
        <f t="shared" si="40"/>
        <v>-23.418934200415428</v>
      </c>
      <c r="LX33" s="95">
        <f t="shared" si="40"/>
        <v>-20.125319401721924</v>
      </c>
      <c r="LY33" s="95">
        <f t="shared" si="40"/>
        <v>-10.175828067117022</v>
      </c>
      <c r="LZ33" s="95">
        <f t="shared" si="40"/>
        <v>23.955217563067887</v>
      </c>
      <c r="MA33" s="95">
        <f t="shared" si="40"/>
        <v>12.71433402102593</v>
      </c>
      <c r="MB33" s="130">
        <f t="shared" si="40"/>
        <v>46.353637119881682</v>
      </c>
      <c r="MC33" s="136" t="s">
        <v>31</v>
      </c>
      <c r="MD33" s="95">
        <f t="shared" ref="MD33:MW33" si="41">(MD22-LR22)/LR22%</f>
        <v>47.752569342486417</v>
      </c>
      <c r="ME33" s="95">
        <f t="shared" si="41"/>
        <v>30.831243360940078</v>
      </c>
      <c r="MF33" s="95">
        <f t="shared" si="41"/>
        <v>40.489069345995915</v>
      </c>
      <c r="MG33" s="95">
        <f t="shared" si="41"/>
        <v>42.582476957304806</v>
      </c>
      <c r="MH33" s="95">
        <f t="shared" si="41"/>
        <v>43.501118432002997</v>
      </c>
      <c r="MI33" s="95">
        <f t="shared" si="41"/>
        <v>62.497590044693723</v>
      </c>
      <c r="MJ33" s="95">
        <f t="shared" si="41"/>
        <v>57.952947792670365</v>
      </c>
      <c r="MK33" s="95">
        <f t="shared" si="41"/>
        <v>60.465865585080174</v>
      </c>
      <c r="ML33" s="95">
        <f t="shared" si="41"/>
        <v>25.137870000967506</v>
      </c>
      <c r="MM33" s="95">
        <f t="shared" si="41"/>
        <v>32.703100824841648</v>
      </c>
      <c r="MN33" s="147">
        <f t="shared" si="41"/>
        <v>6.3520132485649716</v>
      </c>
      <c r="MO33" s="95">
        <f t="shared" si="41"/>
        <v>-12.547181319160067</v>
      </c>
      <c r="MP33" s="95">
        <f t="shared" si="41"/>
        <v>-10.053679153756031</v>
      </c>
      <c r="MQ33" s="95">
        <f t="shared" si="41"/>
        <v>-21.355945907703507</v>
      </c>
      <c r="MR33" s="172">
        <f t="shared" si="41"/>
        <v>-20.044935454269357</v>
      </c>
      <c r="MS33" s="173">
        <f t="shared" si="41"/>
        <v>-12.947194160358329</v>
      </c>
      <c r="MT33" s="173">
        <f t="shared" si="41"/>
        <v>-10.452866058243426</v>
      </c>
      <c r="MU33" s="173">
        <f t="shared" si="41"/>
        <v>-30.144370260912705</v>
      </c>
      <c r="MV33" s="173">
        <f t="shared" si="41"/>
        <v>-29.563772587952407</v>
      </c>
      <c r="MW33" s="174">
        <f t="shared" si="41"/>
        <v>-37.739798027520223</v>
      </c>
      <c r="MX33" s="95">
        <f t="shared" ref="MX33:NG33" si="42">(MX22-ML22)/ML22%</f>
        <v>-37.135508928794756</v>
      </c>
      <c r="MY33" s="95">
        <f t="shared" si="42"/>
        <v>-28.959995529375306</v>
      </c>
      <c r="MZ33" s="95">
        <f t="shared" si="42"/>
        <v>-11.491640164161574</v>
      </c>
      <c r="NA33" s="95">
        <f t="shared" si="42"/>
        <v>4.3260110631107507</v>
      </c>
      <c r="NB33" s="95">
        <f t="shared" si="42"/>
        <v>-9.6233013477249969</v>
      </c>
      <c r="NC33" s="130">
        <f t="shared" si="42"/>
        <v>16.248136534210659</v>
      </c>
      <c r="ND33" s="95">
        <f t="shared" si="42"/>
        <v>35.176199578493346</v>
      </c>
      <c r="NE33" s="95">
        <f t="shared" si="42"/>
        <v>6.9000365316135159</v>
      </c>
      <c r="NF33" s="95">
        <f t="shared" si="42"/>
        <v>1.0232740346188194</v>
      </c>
      <c r="NG33" s="95">
        <f t="shared" si="42"/>
        <v>15.584746449677866</v>
      </c>
      <c r="NH33" s="95">
        <f t="shared" ref="NH33" si="43">(NH22-MV22)/MV22%</f>
        <v>10.254278262908057</v>
      </c>
      <c r="NI33" s="130">
        <f t="shared" ref="NI33:NJ33" si="44">(NI22-MW22)/MW22%</f>
        <v>16.418465414341163</v>
      </c>
      <c r="NJ33" s="95">
        <f t="shared" si="44"/>
        <v>4.7737212019489812</v>
      </c>
      <c r="NK33" s="95">
        <f t="shared" ref="NK33" si="45">(NK22-MY22)/MY22%</f>
        <v>8.605468568425044</v>
      </c>
      <c r="NL33" s="95">
        <f t="shared" ref="NL33:NQ33" si="46">(NL22-MZ22)/MZ22%</f>
        <v>23.661208499979498</v>
      </c>
      <c r="NM33" s="172">
        <f t="shared" si="46"/>
        <v>40.957448840434097</v>
      </c>
      <c r="NN33" s="173">
        <f t="shared" si="46"/>
        <v>47.390243197370225</v>
      </c>
      <c r="NO33" s="193">
        <f t="shared" si="46"/>
        <v>32.240340500801494</v>
      </c>
      <c r="NP33" s="173">
        <f t="shared" si="46"/>
        <v>-1.3309765530577633</v>
      </c>
      <c r="NQ33" s="173">
        <f t="shared" si="46"/>
        <v>-2.3145442292890372</v>
      </c>
      <c r="NR33" s="193">
        <f t="shared" ref="NR33:OG33" si="47">(NR22-NF22)/NF22%</f>
        <v>7.9960096568805303</v>
      </c>
      <c r="NS33" s="173">
        <f t="shared" si="47"/>
        <v>29.053717835256407</v>
      </c>
      <c r="NT33" s="173">
        <f t="shared" si="47"/>
        <v>29.738574034145834</v>
      </c>
      <c r="NU33" s="174">
        <f t="shared" si="47"/>
        <v>58.459242070682713</v>
      </c>
      <c r="NV33" s="95">
        <f t="shared" si="47"/>
        <v>76.571217477766126</v>
      </c>
      <c r="NW33" s="95">
        <f t="shared" si="47"/>
        <v>62.349459073280258</v>
      </c>
      <c r="NX33" s="95">
        <f t="shared" si="47"/>
        <v>42.714355471693572</v>
      </c>
      <c r="NY33" s="95">
        <f t="shared" si="47"/>
        <v>25.845467578327199</v>
      </c>
      <c r="NZ33" s="95">
        <f t="shared" si="47"/>
        <v>39.577309304462823</v>
      </c>
      <c r="OA33" s="95">
        <f t="shared" si="47"/>
        <v>49.155645471417358</v>
      </c>
      <c r="OB33" s="95">
        <f t="shared" si="47"/>
        <v>76.453277395844481</v>
      </c>
      <c r="OC33" s="95">
        <f t="shared" si="47"/>
        <v>98.678807297456359</v>
      </c>
      <c r="OD33" s="95">
        <f t="shared" si="47"/>
        <v>77.405231351041436</v>
      </c>
      <c r="OE33" s="95">
        <f t="shared" si="47"/>
        <v>60.802159241470676</v>
      </c>
      <c r="OF33" s="95">
        <f t="shared" si="47"/>
        <v>60.480337603740665</v>
      </c>
      <c r="OG33" s="95">
        <f t="shared" si="47"/>
        <v>26.640340593570674</v>
      </c>
    </row>
    <row r="34" spans="1:397" x14ac:dyDescent="0.2">
      <c r="KO34" s="100"/>
    </row>
    <row r="35" spans="1:397" x14ac:dyDescent="0.2">
      <c r="A35" s="3"/>
      <c r="FP35" s="1" t="s">
        <v>26</v>
      </c>
    </row>
    <row r="36" spans="1:397" x14ac:dyDescent="0.2">
      <c r="A36" s="3"/>
    </row>
    <row r="37" spans="1:397" x14ac:dyDescent="0.2">
      <c r="A37" s="3"/>
      <c r="FL37" s="6"/>
      <c r="FM37" s="6"/>
      <c r="FN37" s="6"/>
    </row>
    <row r="38" spans="1:397" x14ac:dyDescent="0.2">
      <c r="A38" s="3"/>
    </row>
    <row r="39" spans="1:397" x14ac:dyDescent="0.2">
      <c r="A39" s="3"/>
      <c r="HB39" s="1">
        <v>9</v>
      </c>
    </row>
    <row r="40" spans="1:397" x14ac:dyDescent="0.2">
      <c r="A40" s="3"/>
    </row>
    <row r="41" spans="1:397" x14ac:dyDescent="0.2">
      <c r="A41" s="3"/>
    </row>
    <row r="42" spans="1:397" x14ac:dyDescent="0.2">
      <c r="A42" s="3"/>
    </row>
    <row r="43" spans="1:397" x14ac:dyDescent="0.2">
      <c r="A43" s="8"/>
    </row>
    <row r="45" spans="1:397" x14ac:dyDescent="0.2">
      <c r="A45" s="3"/>
    </row>
    <row r="51" spans="1:1" x14ac:dyDescent="0.2">
      <c r="A51" s="3"/>
    </row>
    <row r="54" spans="1:1" x14ac:dyDescent="0.2">
      <c r="A54" s="3"/>
    </row>
  </sheetData>
  <mergeCells count="397">
    <mergeCell ref="NP4:NP5"/>
    <mergeCell ref="NQ4:NQ5"/>
    <mergeCell ref="NR4:NR5"/>
    <mergeCell ref="LQ6:LQ33"/>
    <mergeCell ref="DR4:DR5"/>
    <mergeCell ref="DS4:DS5"/>
    <mergeCell ref="DT4:DT5"/>
    <mergeCell ref="DU4:DU5"/>
    <mergeCell ref="DV4:DV5"/>
    <mergeCell ref="DW4:DW5"/>
    <mergeCell ref="JV4:JV5"/>
    <mergeCell ref="JW4:JW5"/>
    <mergeCell ref="EG4:EG5"/>
    <mergeCell ref="EH4:EH5"/>
    <mergeCell ref="EI4:EI5"/>
    <mergeCell ref="DX4:DX5"/>
    <mergeCell ref="DY4:DY5"/>
    <mergeCell ref="DZ4:DZ5"/>
    <mergeCell ref="EA4:EA5"/>
    <mergeCell ref="EB4:EB5"/>
    <mergeCell ref="EC4:EC5"/>
    <mergeCell ref="FB4:FB5"/>
    <mergeCell ref="FC4:FC5"/>
    <mergeCell ref="FD4:FD5"/>
    <mergeCell ref="FE4:FE5"/>
    <mergeCell ref="FF4:FF5"/>
    <mergeCell ref="FG4:FG5"/>
    <mergeCell ref="DK4:DK5"/>
    <mergeCell ref="CZ4:CZ5"/>
    <mergeCell ref="DA4:DA5"/>
    <mergeCell ref="DB4:DB5"/>
    <mergeCell ref="DC4:DC5"/>
    <mergeCell ref="DD4:DD5"/>
    <mergeCell ref="DE4:DE5"/>
    <mergeCell ref="ET4:ET5"/>
    <mergeCell ref="EU4:EU5"/>
    <mergeCell ref="EV4:EV5"/>
    <mergeCell ref="EW4:EW5"/>
    <mergeCell ref="EX4:EX5"/>
    <mergeCell ref="EY4:EY5"/>
    <mergeCell ref="EZ4:EZ5"/>
    <mergeCell ref="FA4:FA5"/>
    <mergeCell ref="AI4:AI5"/>
    <mergeCell ref="AJ4:AJ5"/>
    <mergeCell ref="AK4:AK5"/>
    <mergeCell ref="CM4:CM5"/>
    <mergeCell ref="CF4:CF5"/>
    <mergeCell ref="CG4:CG5"/>
    <mergeCell ref="BV4:BV5"/>
    <mergeCell ref="BW4:BW5"/>
    <mergeCell ref="BX4:BX5"/>
    <mergeCell ref="BY4:BY5"/>
    <mergeCell ref="BZ4:BZ5"/>
    <mergeCell ref="CA4:CA5"/>
    <mergeCell ref="BG4:BG5"/>
    <mergeCell ref="BH4:BH5"/>
    <mergeCell ref="BN4:BN5"/>
    <mergeCell ref="BJ4:BJ5"/>
    <mergeCell ref="CE4:CE5"/>
    <mergeCell ref="AO4:AO5"/>
    <mergeCell ref="AP4:AP5"/>
    <mergeCell ref="AQ4:AQ5"/>
    <mergeCell ref="AR4:AR5"/>
    <mergeCell ref="AS4:AS5"/>
    <mergeCell ref="AT4:AT5"/>
    <mergeCell ref="BQ4:BQ5"/>
    <mergeCell ref="BR4:BR5"/>
    <mergeCell ref="BS4:BS5"/>
    <mergeCell ref="AX4:AX5"/>
    <mergeCell ref="AU4:AU5"/>
    <mergeCell ref="BC4:BC5"/>
    <mergeCell ref="BF4:BF5"/>
    <mergeCell ref="BB4:BB5"/>
    <mergeCell ref="AZ4:AZ5"/>
    <mergeCell ref="BA4:BA5"/>
    <mergeCell ref="BM4:BM5"/>
    <mergeCell ref="BP4:BP5"/>
    <mergeCell ref="BT4:BT5"/>
    <mergeCell ref="BU4:BU5"/>
    <mergeCell ref="CB4:CB5"/>
    <mergeCell ref="B4:B5"/>
    <mergeCell ref="C4:C5"/>
    <mergeCell ref="D4:D5"/>
    <mergeCell ref="E4:E5"/>
    <mergeCell ref="F4:F5"/>
    <mergeCell ref="G4:G5"/>
    <mergeCell ref="N4:N5"/>
    <mergeCell ref="O4:O5"/>
    <mergeCell ref="P4:P5"/>
    <mergeCell ref="H4:H5"/>
    <mergeCell ref="I4:I5"/>
    <mergeCell ref="J4:J5"/>
    <mergeCell ref="K4:K5"/>
    <mergeCell ref="L4:L5"/>
    <mergeCell ref="M4:M5"/>
    <mergeCell ref="AA4:AA5"/>
    <mergeCell ref="AB4:AB5"/>
    <mergeCell ref="BO4:BO5"/>
    <mergeCell ref="BI4:BI5"/>
    <mergeCell ref="BK4:BK5"/>
    <mergeCell ref="BL4:BL5"/>
    <mergeCell ref="Q4:Q5"/>
    <mergeCell ref="R4:R5"/>
    <mergeCell ref="S4:S5"/>
    <mergeCell ref="W4:W5"/>
    <mergeCell ref="X4:X5"/>
    <mergeCell ref="BD4:BD5"/>
    <mergeCell ref="BE4:BE5"/>
    <mergeCell ref="T4:T5"/>
    <mergeCell ref="U4:U5"/>
    <mergeCell ref="V4:V5"/>
    <mergeCell ref="AC4:AC5"/>
    <mergeCell ref="AD4:AD5"/>
    <mergeCell ref="AE4:AE5"/>
    <mergeCell ref="AL4:AL5"/>
    <mergeCell ref="AM4:AM5"/>
    <mergeCell ref="AN4:AN5"/>
    <mergeCell ref="Y4:Y5"/>
    <mergeCell ref="Z4:Z5"/>
    <mergeCell ref="AV4:AV5"/>
    <mergeCell ref="AW4:AW5"/>
    <mergeCell ref="AY4:AY5"/>
    <mergeCell ref="AF4:AF5"/>
    <mergeCell ref="AG4:AG5"/>
    <mergeCell ref="AH4:AH5"/>
    <mergeCell ref="CH4:CH5"/>
    <mergeCell ref="CI4:CI5"/>
    <mergeCell ref="CJ4:CJ5"/>
    <mergeCell ref="CK4:CK5"/>
    <mergeCell ref="CL4:CL5"/>
    <mergeCell ref="DF4:DF5"/>
    <mergeCell ref="DG4:DG5"/>
    <mergeCell ref="CO4:CO5"/>
    <mergeCell ref="CP4:CP5"/>
    <mergeCell ref="CQ4:CQ5"/>
    <mergeCell ref="CR4:CR5"/>
    <mergeCell ref="CS4:CS5"/>
    <mergeCell ref="CN4:CN5"/>
    <mergeCell ref="CT4:CT5"/>
    <mergeCell ref="CU4:CU5"/>
    <mergeCell ref="CV4:CV5"/>
    <mergeCell ref="CW4:CW5"/>
    <mergeCell ref="CX4:CX5"/>
    <mergeCell ref="CY4:CY5"/>
    <mergeCell ref="CC4:CC5"/>
    <mergeCell ref="CD4:CD5"/>
    <mergeCell ref="DH4:DH5"/>
    <mergeCell ref="ED4:ED5"/>
    <mergeCell ref="EE4:EE5"/>
    <mergeCell ref="EP4:EP5"/>
    <mergeCell ref="EQ4:EQ5"/>
    <mergeCell ref="ER4:ER5"/>
    <mergeCell ref="ES4:ES5"/>
    <mergeCell ref="EJ4:EJ5"/>
    <mergeCell ref="EK4:EK5"/>
    <mergeCell ref="EL4:EL5"/>
    <mergeCell ref="EM4:EM5"/>
    <mergeCell ref="EN4:EN5"/>
    <mergeCell ref="EO4:EO5"/>
    <mergeCell ref="DI4:DI5"/>
    <mergeCell ref="DL4:DL5"/>
    <mergeCell ref="DM4:DM5"/>
    <mergeCell ref="DN4:DN5"/>
    <mergeCell ref="DO4:DO5"/>
    <mergeCell ref="DP4:DP5"/>
    <mergeCell ref="DQ4:DQ5"/>
    <mergeCell ref="EF4:EF5"/>
    <mergeCell ref="DJ4:DJ5"/>
    <mergeCell ref="FN4:FN5"/>
    <mergeCell ref="FO4:FO5"/>
    <mergeCell ref="FP4:FP5"/>
    <mergeCell ref="FQ4:FQ5"/>
    <mergeCell ref="FR4:FR5"/>
    <mergeCell ref="FS4:FS5"/>
    <mergeCell ref="FH4:FH5"/>
    <mergeCell ref="FI4:FI5"/>
    <mergeCell ref="FJ4:FJ5"/>
    <mergeCell ref="FK4:FK5"/>
    <mergeCell ref="FL4:FL5"/>
    <mergeCell ref="FM4:FM5"/>
    <mergeCell ref="FZ4:FZ5"/>
    <mergeCell ref="GA4:GA5"/>
    <mergeCell ref="GB4:GB5"/>
    <mergeCell ref="GC4:GC5"/>
    <mergeCell ref="GD4:GD5"/>
    <mergeCell ref="GE4:GE5"/>
    <mergeCell ref="FT4:FT5"/>
    <mergeCell ref="FU4:FU5"/>
    <mergeCell ref="FV4:FV5"/>
    <mergeCell ref="FW4:FW5"/>
    <mergeCell ref="FX4:FX5"/>
    <mergeCell ref="FY4:FY5"/>
    <mergeCell ref="GL4:GL5"/>
    <mergeCell ref="GM4:GM5"/>
    <mergeCell ref="GN4:GN5"/>
    <mergeCell ref="GO4:GO5"/>
    <mergeCell ref="GP4:GP5"/>
    <mergeCell ref="GQ4:GQ5"/>
    <mergeCell ref="GF4:GF5"/>
    <mergeCell ref="GG4:GG5"/>
    <mergeCell ref="GH4:GH5"/>
    <mergeCell ref="GI4:GI5"/>
    <mergeCell ref="GJ4:GJ5"/>
    <mergeCell ref="GK4:GK5"/>
    <mergeCell ref="GX4:GX5"/>
    <mergeCell ref="GY4:GY5"/>
    <mergeCell ref="GZ4:GZ5"/>
    <mergeCell ref="HA4:HA5"/>
    <mergeCell ref="HB4:HB5"/>
    <mergeCell ref="HC4:HC5"/>
    <mergeCell ref="GR4:GR5"/>
    <mergeCell ref="GS4:GS5"/>
    <mergeCell ref="GT4:GT5"/>
    <mergeCell ref="GU4:GU5"/>
    <mergeCell ref="GV4:GV5"/>
    <mergeCell ref="GW4:GW5"/>
    <mergeCell ref="HJ4:HJ5"/>
    <mergeCell ref="HK4:HK5"/>
    <mergeCell ref="HL4:HL5"/>
    <mergeCell ref="HM4:HM5"/>
    <mergeCell ref="HN4:HN5"/>
    <mergeCell ref="HO4:HO5"/>
    <mergeCell ref="HD4:HD5"/>
    <mergeCell ref="HE4:HE5"/>
    <mergeCell ref="HF4:HF5"/>
    <mergeCell ref="HG4:HG5"/>
    <mergeCell ref="HH4:HH5"/>
    <mergeCell ref="HI4:HI5"/>
    <mergeCell ref="HV4:HV5"/>
    <mergeCell ref="HW4:HW5"/>
    <mergeCell ref="HX4:HX5"/>
    <mergeCell ref="HY4:HY5"/>
    <mergeCell ref="HZ4:HZ5"/>
    <mergeCell ref="IA4:IA5"/>
    <mergeCell ref="HP4:HP5"/>
    <mergeCell ref="HQ4:HQ5"/>
    <mergeCell ref="HR4:HR5"/>
    <mergeCell ref="HS4:HS5"/>
    <mergeCell ref="HT4:HT5"/>
    <mergeCell ref="HU4:HU5"/>
    <mergeCell ref="IH4:IH5"/>
    <mergeCell ref="II4:II5"/>
    <mergeCell ref="IJ4:IJ5"/>
    <mergeCell ref="IK4:IK5"/>
    <mergeCell ref="IL4:IL5"/>
    <mergeCell ref="IM4:IM5"/>
    <mergeCell ref="IB4:IB5"/>
    <mergeCell ref="IC4:IC5"/>
    <mergeCell ref="ID4:ID5"/>
    <mergeCell ref="IE4:IE5"/>
    <mergeCell ref="IF4:IF5"/>
    <mergeCell ref="IG4:IG5"/>
    <mergeCell ref="JB4:JB5"/>
    <mergeCell ref="JC4:JC5"/>
    <mergeCell ref="JD4:JD5"/>
    <mergeCell ref="JE4:JE5"/>
    <mergeCell ref="IN4:IN5"/>
    <mergeCell ref="IO4:IO5"/>
    <mergeCell ref="IP4:IP5"/>
    <mergeCell ref="IQ4:IQ5"/>
    <mergeCell ref="IR4:IR5"/>
    <mergeCell ref="IS4:IS5"/>
    <mergeCell ref="JU4:JU5"/>
    <mergeCell ref="IY4:IY5"/>
    <mergeCell ref="IT4:IT5"/>
    <mergeCell ref="IU4:IU5"/>
    <mergeCell ref="IV4:IV5"/>
    <mergeCell ref="IW4:IW5"/>
    <mergeCell ref="IX4:IX5"/>
    <mergeCell ref="JR4:JR5"/>
    <mergeCell ref="JS4:JS5"/>
    <mergeCell ref="JT4:JT5"/>
    <mergeCell ref="JO4:JO5"/>
    <mergeCell ref="JP4:JP5"/>
    <mergeCell ref="JQ4:JQ5"/>
    <mergeCell ref="JL4:JL5"/>
    <mergeCell ref="JM4:JM5"/>
    <mergeCell ref="JN4:JN5"/>
    <mergeCell ref="JI4:JI5"/>
    <mergeCell ref="JJ4:JJ5"/>
    <mergeCell ref="JK4:JK5"/>
    <mergeCell ref="JF4:JF5"/>
    <mergeCell ref="JG4:JG5"/>
    <mergeCell ref="JH4:JH5"/>
    <mergeCell ref="IZ4:IZ5"/>
    <mergeCell ref="JA4:JA5"/>
    <mergeCell ref="KA4:KA5"/>
    <mergeCell ref="KB4:KB5"/>
    <mergeCell ref="KC4:KC5"/>
    <mergeCell ref="JX4:JX5"/>
    <mergeCell ref="JY4:JY5"/>
    <mergeCell ref="JZ4:JZ5"/>
    <mergeCell ref="KD4:KD5"/>
    <mergeCell ref="KE4:KE5"/>
    <mergeCell ref="KF4:KF5"/>
    <mergeCell ref="KG4:KG5"/>
    <mergeCell ref="KH4:KH5"/>
    <mergeCell ref="KI4:KI5"/>
    <mergeCell ref="KK4:KK5"/>
    <mergeCell ref="KL4:KL5"/>
    <mergeCell ref="KS4:KS5"/>
    <mergeCell ref="KT4:KT5"/>
    <mergeCell ref="KU4:KU5"/>
    <mergeCell ref="KP4:KP5"/>
    <mergeCell ref="KQ4:KQ5"/>
    <mergeCell ref="KR4:KR5"/>
    <mergeCell ref="KJ4:KJ5"/>
    <mergeCell ref="LE4:LE5"/>
    <mergeCell ref="LF4:LF5"/>
    <mergeCell ref="LG4:LG5"/>
    <mergeCell ref="KV4:KV5"/>
    <mergeCell ref="KW4:KW5"/>
    <mergeCell ref="KX4:KX5"/>
    <mergeCell ref="KM4:KM5"/>
    <mergeCell ref="KN4:KN5"/>
    <mergeCell ref="KO4:KO5"/>
    <mergeCell ref="LB4:LB5"/>
    <mergeCell ref="LC4:LC5"/>
    <mergeCell ref="LD4:LD5"/>
    <mergeCell ref="KY4:KY5"/>
    <mergeCell ref="KZ4:KZ5"/>
    <mergeCell ref="LA4:LA5"/>
    <mergeCell ref="LK4:LK5"/>
    <mergeCell ref="LL4:LL5"/>
    <mergeCell ref="LM4:LM5"/>
    <mergeCell ref="LH4:LH5"/>
    <mergeCell ref="LI4:LI5"/>
    <mergeCell ref="LJ4:LJ5"/>
    <mergeCell ref="LN4:LN5"/>
    <mergeCell ref="LO4:LO5"/>
    <mergeCell ref="LP4:LP5"/>
    <mergeCell ref="LT4:LT5"/>
    <mergeCell ref="LU4:LU5"/>
    <mergeCell ref="LV4:LV5"/>
    <mergeCell ref="LQ4:LQ5"/>
    <mergeCell ref="LR4:LR5"/>
    <mergeCell ref="LS4:LS5"/>
    <mergeCell ref="LW4:LW5"/>
    <mergeCell ref="LX4:LX5"/>
    <mergeCell ref="LY4:LY5"/>
    <mergeCell ref="MR4:MR5"/>
    <mergeCell ref="MS4:MS5"/>
    <mergeCell ref="MT4:MT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O4:MO5"/>
    <mergeCell ref="MP4:MP5"/>
    <mergeCell ref="MQ4:MQ5"/>
    <mergeCell ref="ML4:ML5"/>
    <mergeCell ref="MM4:MM5"/>
    <mergeCell ref="MN4:MN5"/>
    <mergeCell ref="NS4:NS5"/>
    <mergeCell ref="NT4:NT5"/>
    <mergeCell ref="NU4:NU5"/>
    <mergeCell ref="MU4:MU5"/>
    <mergeCell ref="MV4:MV5"/>
    <mergeCell ref="MW4:MW5"/>
    <mergeCell ref="NM4:NM5"/>
    <mergeCell ref="NN4:NN5"/>
    <mergeCell ref="NO4:NO5"/>
    <mergeCell ref="NJ4:NJ5"/>
    <mergeCell ref="NK4:NK5"/>
    <mergeCell ref="NL4:NL5"/>
    <mergeCell ref="NG4:NG5"/>
    <mergeCell ref="NH4:NH5"/>
    <mergeCell ref="NI4:NI5"/>
    <mergeCell ref="ND4:ND5"/>
    <mergeCell ref="NE4:NE5"/>
    <mergeCell ref="NF4:NF5"/>
    <mergeCell ref="NA4:NA5"/>
    <mergeCell ref="NB4:NB5"/>
    <mergeCell ref="NC4:NC5"/>
    <mergeCell ref="MX4:MX5"/>
    <mergeCell ref="MY4:MY5"/>
    <mergeCell ref="MZ4:MZ5"/>
    <mergeCell ref="OE4:OE5"/>
    <mergeCell ref="OF4:OF5"/>
    <mergeCell ref="OG4:OG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&amp;C&amp;"Calibri"&amp;11&amp;K000000&amp;"segoe ui,Regular"&amp;KFFFFFFPUBLICATIONS_x000D_&amp;1#&amp;"Calibri"&amp;9&amp;K000000Public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Sheet1!_MailAutoSig</vt:lpstr>
    </vt:vector>
  </TitlesOfParts>
  <Company>Colombo Stock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Vincent</dc:creator>
  <cp:lastModifiedBy>Nishantha Batagalle</cp:lastModifiedBy>
  <dcterms:created xsi:type="dcterms:W3CDTF">2014-06-13T05:09:45Z</dcterms:created>
  <dcterms:modified xsi:type="dcterms:W3CDTF">2026-03-12T06:07:46Z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e3bad0bc-76e2-4a2b-a540-172e62a8cbb6</vt:lpwstr>
  </property>
  <property fmtid="{D5CDD505-2E9C-101B-9397-08002B2CF9AE}" pid="3" name="Colombo Stock ExchangeClassification">
    <vt:lpwstr>PUBLICATIONS</vt:lpwstr>
  </property>
  <property fmtid="{D5CDD505-2E9C-101B-9397-08002B2CF9AE}" pid="4" name="MSIP_Label_08c9dffd-7f7f-4a79-845b-6990ae27c19b_Enabled">
    <vt:lpwstr>true</vt:lpwstr>
  </property>
  <property fmtid="{D5CDD505-2E9C-101B-9397-08002B2CF9AE}" pid="5" name="MSIP_Label_08c9dffd-7f7f-4a79-845b-6990ae27c19b_SetDate">
    <vt:lpwstr>2023-12-16T11:37:02Z</vt:lpwstr>
  </property>
  <property fmtid="{D5CDD505-2E9C-101B-9397-08002B2CF9AE}" pid="6" name="MSIP_Label_08c9dffd-7f7f-4a79-845b-6990ae27c19b_Method">
    <vt:lpwstr>Privileged</vt:lpwstr>
  </property>
  <property fmtid="{D5CDD505-2E9C-101B-9397-08002B2CF9AE}" pid="7" name="MSIP_Label_08c9dffd-7f7f-4a79-845b-6990ae27c19b_Name">
    <vt:lpwstr>Public</vt:lpwstr>
  </property>
  <property fmtid="{D5CDD505-2E9C-101B-9397-08002B2CF9AE}" pid="8" name="MSIP_Label_08c9dffd-7f7f-4a79-845b-6990ae27c19b_SiteId">
    <vt:lpwstr>bd7b1ded-1501-45d2-9e2d-070b865e616f</vt:lpwstr>
  </property>
  <property fmtid="{D5CDD505-2E9C-101B-9397-08002B2CF9AE}" pid="9" name="MSIP_Label_08c9dffd-7f7f-4a79-845b-6990ae27c19b_ActionId">
    <vt:lpwstr>a953ae1d-f4cd-4fa1-9ec7-3b5cf9277eb6</vt:lpwstr>
  </property>
  <property fmtid="{D5CDD505-2E9C-101B-9397-08002B2CF9AE}" pid="10" name="MSIP_Label_08c9dffd-7f7f-4a79-845b-6990ae27c19b_ContentBits">
    <vt:lpwstr>2</vt:lpwstr>
  </property>
</Properties>
</file>